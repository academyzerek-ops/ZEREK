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/>
  <mc:AlternateContent xmlns:mc="http://schemas.openxmlformats.org/markup-compatibility/2006">
    <mc:Choice Requires="x15">
      <x15ac:absPath xmlns:x15ac="http://schemas.microsoft.com/office/spreadsheetml/2010/11/ac" url="https://d.docs.live.net/b831a668e4ab8a27/Рабочий стол/"/>
    </mc:Choice>
  </mc:AlternateContent>
  <xr:revisionPtr revIDLastSave="0" documentId="8_{EDD3A58B-EEDD-4464-A440-5B9DDF5D0259}" xr6:coauthVersionLast="47" xr6:coauthVersionMax="47" xr10:uidLastSave="{00000000-0000-0000-0000-000000000000}"/>
  <bookViews>
    <workbookView xWindow="-108" yWindow="-108" windowWidth="23256" windowHeight="12456" tabRatio="500" activeTab="10" xr2:uid="{00000000-000D-0000-FFFF-FFFF00000000}"/>
  </bookViews>
  <sheets>
    <sheet name="📋 НАВИГАЦИЯ" sheetId="1" r:id="rId1"/>
    <sheet name="📖 КАК ЧИТАТЬ МОДЕЛЬ" sheetId="2" r:id="rId2"/>
    <sheet name="⚙️ ПАРАМЕТРЫ" sheetId="3" r:id="rId3"/>
    <sheet name="📊 ДОПУЩЕНИЯ" sheetId="4" r:id="rId4"/>
    <sheet name="🎯 ДАШБОРД" sheetId="5" r:id="rId5"/>
    <sheet name="📈 P&amp;L" sheetId="6" r:id="rId6"/>
    <sheet name="💰 CASH FLOW" sheetId="7" r:id="rId7"/>
    <sheet name="📋 КРЕДИТ" sheetId="8" r:id="rId8"/>
    <sheet name="📑 БАЛАНС" sheetId="9" r:id="rId9"/>
    <sheet name="🔄 СЦЕНАРИИ" sheetId="10" r:id="rId10"/>
    <sheet name="✅ ПРОВЕРКА" sheetId="11" r:id="rId11"/>
    <sheet name="🔥 СТРЕСС-ТЕСТ" sheetId="12" r:id="rId12"/>
  </sheet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D68" i="12" l="1"/>
  <c r="C51" i="12"/>
  <c r="C50" i="12"/>
  <c r="C49" i="12"/>
  <c r="C48" i="12"/>
  <c r="C47" i="12"/>
  <c r="D27" i="12"/>
  <c r="G17" i="12"/>
  <c r="G27" i="12" s="1"/>
  <c r="F17" i="12"/>
  <c r="F27" i="12" s="1"/>
  <c r="E17" i="12"/>
  <c r="E27" i="12" s="1"/>
  <c r="D17" i="12"/>
  <c r="C17" i="12"/>
  <c r="C27" i="12" s="1"/>
  <c r="G16" i="12"/>
  <c r="F16" i="12"/>
  <c r="E16" i="12"/>
  <c r="D16" i="12"/>
  <c r="C16" i="12"/>
  <c r="G15" i="12"/>
  <c r="F15" i="12"/>
  <c r="E15" i="12"/>
  <c r="D15" i="12"/>
  <c r="C15" i="12"/>
  <c r="G14" i="12"/>
  <c r="G68" i="12" s="1"/>
  <c r="F14" i="12"/>
  <c r="F68" i="12" s="1"/>
  <c r="E14" i="12"/>
  <c r="E68" i="12" s="1"/>
  <c r="D14" i="12"/>
  <c r="C14" i="12"/>
  <c r="C68" i="12" s="1"/>
  <c r="D12" i="11" a="1"/>
  <c r="D12" i="11" s="1"/>
  <c r="B12" i="11" a="1"/>
  <c r="B12" i="11" s="1"/>
  <c r="D10" i="11"/>
  <c r="B10" i="11"/>
  <c r="D7" i="11"/>
  <c r="B7" i="11"/>
  <c r="N10" i="9"/>
  <c r="M10" i="9"/>
  <c r="L10" i="9"/>
  <c r="K10" i="9"/>
  <c r="J10" i="9"/>
  <c r="I10" i="9"/>
  <c r="H10" i="9"/>
  <c r="G10" i="9"/>
  <c r="F10" i="9"/>
  <c r="E10" i="9"/>
  <c r="D10" i="9"/>
  <c r="C10" i="9"/>
  <c r="N8" i="9"/>
  <c r="M8" i="9"/>
  <c r="L8" i="9"/>
  <c r="K8" i="9"/>
  <c r="J8" i="9"/>
  <c r="I8" i="9"/>
  <c r="H8" i="9"/>
  <c r="G8" i="9"/>
  <c r="F8" i="9"/>
  <c r="E8" i="9"/>
  <c r="D8" i="9"/>
  <c r="C8" i="9"/>
  <c r="D40" i="8"/>
  <c r="C40" i="8"/>
  <c r="B40" i="8"/>
  <c r="D39" i="8"/>
  <c r="C39" i="8"/>
  <c r="B39" i="8"/>
  <c r="D38" i="8"/>
  <c r="C38" i="8"/>
  <c r="B38" i="8"/>
  <c r="D37" i="8"/>
  <c r="C37" i="8"/>
  <c r="B37" i="8"/>
  <c r="D36" i="8"/>
  <c r="C36" i="8"/>
  <c r="B36" i="8"/>
  <c r="D35" i="8"/>
  <c r="C35" i="8"/>
  <c r="B35" i="8"/>
  <c r="D34" i="8"/>
  <c r="C34" i="8"/>
  <c r="B34" i="8"/>
  <c r="D33" i="8"/>
  <c r="C33" i="8"/>
  <c r="B33" i="8"/>
  <c r="D32" i="8"/>
  <c r="C32" i="8"/>
  <c r="B32" i="8"/>
  <c r="D31" i="8"/>
  <c r="C31" i="8"/>
  <c r="B31" i="8"/>
  <c r="D30" i="8"/>
  <c r="C30" i="8"/>
  <c r="B30" i="8"/>
  <c r="D29" i="8"/>
  <c r="C29" i="8"/>
  <c r="B29" i="8"/>
  <c r="D28" i="8"/>
  <c r="C28" i="8"/>
  <c r="B28" i="8"/>
  <c r="D27" i="8"/>
  <c r="C27" i="8"/>
  <c r="B27" i="8"/>
  <c r="D26" i="8"/>
  <c r="C26" i="8"/>
  <c r="B26" i="8"/>
  <c r="D25" i="8"/>
  <c r="C25" i="8"/>
  <c r="B25" i="8"/>
  <c r="D24" i="8"/>
  <c r="C24" i="8"/>
  <c r="B24" i="8"/>
  <c r="D23" i="8"/>
  <c r="C23" i="8"/>
  <c r="B23" i="8"/>
  <c r="D22" i="8"/>
  <c r="C22" i="8"/>
  <c r="B22" i="8"/>
  <c r="D21" i="8"/>
  <c r="C21" i="8"/>
  <c r="B21" i="8"/>
  <c r="D20" i="8"/>
  <c r="C20" i="8"/>
  <c r="B20" i="8"/>
  <c r="D19" i="8"/>
  <c r="C19" i="8"/>
  <c r="B19" i="8"/>
  <c r="D18" i="8"/>
  <c r="C18" i="8"/>
  <c r="B18" i="8"/>
  <c r="D17" i="8"/>
  <c r="C17" i="8"/>
  <c r="B17" i="8"/>
  <c r="D16" i="8"/>
  <c r="C16" i="8"/>
  <c r="B16" i="8"/>
  <c r="D15" i="8"/>
  <c r="C15" i="8"/>
  <c r="B15" i="8"/>
  <c r="D14" i="8"/>
  <c r="C14" i="8"/>
  <c r="B14" i="8"/>
  <c r="D13" i="8"/>
  <c r="C13" i="8"/>
  <c r="B13" i="8"/>
  <c r="D12" i="8"/>
  <c r="C12" i="8"/>
  <c r="B12" i="8"/>
  <c r="D11" i="8"/>
  <c r="C11" i="8"/>
  <c r="B11" i="8"/>
  <c r="D10" i="8"/>
  <c r="C10" i="8"/>
  <c r="B10" i="8"/>
  <c r="D9" i="8"/>
  <c r="C9" i="8"/>
  <c r="B9" i="8"/>
  <c r="D8" i="8"/>
  <c r="C8" i="8"/>
  <c r="B8" i="8"/>
  <c r="D7" i="8"/>
  <c r="C7" i="8"/>
  <c r="B7" i="8"/>
  <c r="D6" i="8"/>
  <c r="C6" i="8"/>
  <c r="B6" i="8"/>
  <c r="D5" i="8"/>
  <c r="E5" i="8" s="1"/>
  <c r="E6" i="8" s="1"/>
  <c r="E7" i="8" s="1"/>
  <c r="E8" i="8" s="1"/>
  <c r="E9" i="8" s="1"/>
  <c r="E10" i="8" s="1"/>
  <c r="E11" i="8" s="1"/>
  <c r="E12" i="8" s="1"/>
  <c r="E13" i="8" s="1"/>
  <c r="E14" i="8" s="1"/>
  <c r="E15" i="8" s="1"/>
  <c r="E16" i="8" s="1"/>
  <c r="E17" i="8" s="1"/>
  <c r="E18" i="8" s="1"/>
  <c r="E19" i="8" s="1"/>
  <c r="E20" i="8" s="1"/>
  <c r="E21" i="8" s="1"/>
  <c r="E22" i="8" s="1"/>
  <c r="E23" i="8" s="1"/>
  <c r="E24" i="8" s="1"/>
  <c r="E25" i="8" s="1"/>
  <c r="E26" i="8" s="1"/>
  <c r="E27" i="8" s="1"/>
  <c r="E28" i="8" s="1"/>
  <c r="E29" i="8" s="1"/>
  <c r="E30" i="8" s="1"/>
  <c r="E31" i="8" s="1"/>
  <c r="E32" i="8" s="1"/>
  <c r="E33" i="8" s="1"/>
  <c r="E34" i="8" s="1"/>
  <c r="E35" i="8" s="1"/>
  <c r="E36" i="8" s="1"/>
  <c r="E37" i="8" s="1"/>
  <c r="E38" i="8" s="1"/>
  <c r="E39" i="8" s="1"/>
  <c r="E40" i="8" s="1"/>
  <c r="C5" i="8"/>
  <c r="B5" i="8"/>
  <c r="B29" i="7"/>
  <c r="AL12" i="7"/>
  <c r="AK12" i="7"/>
  <c r="AJ12" i="7"/>
  <c r="AI12" i="7"/>
  <c r="AH12" i="7"/>
  <c r="AG12" i="7"/>
  <c r="AF12" i="7"/>
  <c r="AE12" i="7"/>
  <c r="AD12" i="7"/>
  <c r="AC12" i="7"/>
  <c r="AB12" i="7"/>
  <c r="AA12" i="7"/>
  <c r="Z12" i="7"/>
  <c r="Y12" i="7"/>
  <c r="X12" i="7"/>
  <c r="W12" i="7"/>
  <c r="V12" i="7"/>
  <c r="U12" i="7"/>
  <c r="T12" i="7"/>
  <c r="S12" i="7"/>
  <c r="R12" i="7"/>
  <c r="Q12" i="7"/>
  <c r="P12" i="7"/>
  <c r="O12" i="7"/>
  <c r="N12" i="7"/>
  <c r="M12" i="7"/>
  <c r="L12" i="7"/>
  <c r="K12" i="7"/>
  <c r="J12" i="7"/>
  <c r="I12" i="7"/>
  <c r="H12" i="7"/>
  <c r="G12" i="7"/>
  <c r="F12" i="7"/>
  <c r="E12" i="7"/>
  <c r="D12" i="7"/>
  <c r="C12" i="7"/>
  <c r="C11" i="7"/>
  <c r="B8" i="7"/>
  <c r="B7" i="7"/>
  <c r="B9" i="7" s="1"/>
  <c r="B21" i="7" s="1"/>
  <c r="B22" i="7" s="1"/>
  <c r="B6" i="7"/>
  <c r="AL37" i="6"/>
  <c r="AK37" i="6"/>
  <c r="AJ37" i="6"/>
  <c r="AI37" i="6"/>
  <c r="AH37" i="6"/>
  <c r="AG37" i="6"/>
  <c r="AF37" i="6"/>
  <c r="AE37" i="6"/>
  <c r="AD37" i="6"/>
  <c r="AC37" i="6"/>
  <c r="AB37" i="6"/>
  <c r="AA37" i="6"/>
  <c r="Z37" i="6"/>
  <c r="Y37" i="6"/>
  <c r="X37" i="6"/>
  <c r="W37" i="6"/>
  <c r="V37" i="6"/>
  <c r="U37" i="6"/>
  <c r="T37" i="6"/>
  <c r="S37" i="6"/>
  <c r="R37" i="6"/>
  <c r="Q37" i="6"/>
  <c r="P37" i="6"/>
  <c r="O37" i="6"/>
  <c r="N37" i="6"/>
  <c r="M37" i="6"/>
  <c r="L37" i="6"/>
  <c r="K37" i="6"/>
  <c r="J37" i="6"/>
  <c r="I37" i="6"/>
  <c r="H37" i="6"/>
  <c r="G37" i="6"/>
  <c r="F37" i="6"/>
  <c r="E37" i="6"/>
  <c r="D37" i="6"/>
  <c r="C37" i="6"/>
  <c r="AL34" i="6"/>
  <c r="AK34" i="6"/>
  <c r="AJ34" i="6"/>
  <c r="AI34" i="6"/>
  <c r="AH34" i="6"/>
  <c r="AG34" i="6"/>
  <c r="AF34" i="6"/>
  <c r="AE34" i="6"/>
  <c r="AD34" i="6"/>
  <c r="AC34" i="6"/>
  <c r="AB34" i="6"/>
  <c r="AA34" i="6"/>
  <c r="Z34" i="6"/>
  <c r="Y34" i="6"/>
  <c r="X34" i="6"/>
  <c r="W34" i="6"/>
  <c r="V34" i="6"/>
  <c r="U34" i="6"/>
  <c r="T34" i="6"/>
  <c r="S34" i="6"/>
  <c r="R34" i="6"/>
  <c r="Q34" i="6"/>
  <c r="P34" i="6"/>
  <c r="O34" i="6"/>
  <c r="N34" i="6"/>
  <c r="M34" i="6"/>
  <c r="L34" i="6"/>
  <c r="K34" i="6"/>
  <c r="J34" i="6"/>
  <c r="I34" i="6"/>
  <c r="H34" i="6"/>
  <c r="G34" i="6"/>
  <c r="F34" i="6"/>
  <c r="E34" i="6"/>
  <c r="D34" i="6"/>
  <c r="C34" i="6"/>
  <c r="AL29" i="6"/>
  <c r="AK29" i="6"/>
  <c r="AJ29" i="6"/>
  <c r="AI29" i="6"/>
  <c r="AH29" i="6"/>
  <c r="AG29" i="6"/>
  <c r="AF29" i="6"/>
  <c r="AE29" i="6"/>
  <c r="AD29" i="6"/>
  <c r="AC29" i="6"/>
  <c r="AB29" i="6"/>
  <c r="AA29" i="6"/>
  <c r="Z29" i="6"/>
  <c r="Y29" i="6"/>
  <c r="X29" i="6"/>
  <c r="W29" i="6"/>
  <c r="V29" i="6"/>
  <c r="U29" i="6"/>
  <c r="T29" i="6"/>
  <c r="S29" i="6"/>
  <c r="R29" i="6"/>
  <c r="Q29" i="6"/>
  <c r="P29" i="6"/>
  <c r="O29" i="6"/>
  <c r="N29" i="6"/>
  <c r="M29" i="6"/>
  <c r="L29" i="6"/>
  <c r="K29" i="6"/>
  <c r="J29" i="6"/>
  <c r="I29" i="6"/>
  <c r="H29" i="6"/>
  <c r="G29" i="6"/>
  <c r="F29" i="6"/>
  <c r="E29" i="6"/>
  <c r="D29" i="6"/>
  <c r="C29" i="6"/>
  <c r="AL28" i="6"/>
  <c r="AK28" i="6"/>
  <c r="AJ28" i="6"/>
  <c r="AI28" i="6"/>
  <c r="AH28" i="6"/>
  <c r="AG28" i="6"/>
  <c r="AF28" i="6"/>
  <c r="AE28" i="6"/>
  <c r="AD28" i="6"/>
  <c r="AC28" i="6"/>
  <c r="AB28" i="6"/>
  <c r="AA28" i="6"/>
  <c r="Z28" i="6"/>
  <c r="Y28" i="6"/>
  <c r="X28" i="6"/>
  <c r="W28" i="6"/>
  <c r="V28" i="6"/>
  <c r="U28" i="6"/>
  <c r="T28" i="6"/>
  <c r="S28" i="6"/>
  <c r="R28" i="6"/>
  <c r="Q28" i="6"/>
  <c r="P28" i="6"/>
  <c r="O28" i="6"/>
  <c r="N28" i="6"/>
  <c r="M28" i="6"/>
  <c r="L28" i="6"/>
  <c r="K28" i="6"/>
  <c r="J28" i="6"/>
  <c r="I28" i="6"/>
  <c r="H28" i="6"/>
  <c r="G28" i="6"/>
  <c r="F28" i="6"/>
  <c r="E28" i="6"/>
  <c r="D28" i="6"/>
  <c r="C28" i="6"/>
  <c r="AL27" i="6"/>
  <c r="AK27" i="6"/>
  <c r="AJ27" i="6"/>
  <c r="AI27" i="6"/>
  <c r="AH27" i="6"/>
  <c r="AG27" i="6"/>
  <c r="AF27" i="6"/>
  <c r="AE27" i="6"/>
  <c r="AD27" i="6"/>
  <c r="AC27" i="6"/>
  <c r="AB27" i="6"/>
  <c r="AA27" i="6"/>
  <c r="Z27" i="6"/>
  <c r="Y27" i="6"/>
  <c r="X27" i="6"/>
  <c r="W27" i="6"/>
  <c r="V27" i="6"/>
  <c r="U27" i="6"/>
  <c r="T27" i="6"/>
  <c r="S27" i="6"/>
  <c r="R27" i="6"/>
  <c r="Q27" i="6"/>
  <c r="P27" i="6"/>
  <c r="O27" i="6"/>
  <c r="N27" i="6"/>
  <c r="M27" i="6"/>
  <c r="L27" i="6"/>
  <c r="K27" i="6"/>
  <c r="J27" i="6"/>
  <c r="I27" i="6"/>
  <c r="H27" i="6"/>
  <c r="G27" i="6"/>
  <c r="F27" i="6"/>
  <c r="E27" i="6"/>
  <c r="D27" i="6"/>
  <c r="C27" i="6"/>
  <c r="AL26" i="6"/>
  <c r="AK26" i="6"/>
  <c r="AJ26" i="6"/>
  <c r="AI26" i="6"/>
  <c r="AH26" i="6"/>
  <c r="AG26" i="6"/>
  <c r="AF26" i="6"/>
  <c r="AE26" i="6"/>
  <c r="AD26" i="6"/>
  <c r="AC26" i="6"/>
  <c r="AB26" i="6"/>
  <c r="AA26" i="6"/>
  <c r="Z26" i="6"/>
  <c r="Y26" i="6"/>
  <c r="X26" i="6"/>
  <c r="W26" i="6"/>
  <c r="V26" i="6"/>
  <c r="U26" i="6"/>
  <c r="T26" i="6"/>
  <c r="S26" i="6"/>
  <c r="R26" i="6"/>
  <c r="Q26" i="6"/>
  <c r="P26" i="6"/>
  <c r="O26" i="6"/>
  <c r="N26" i="6"/>
  <c r="M26" i="6"/>
  <c r="L26" i="6"/>
  <c r="K26" i="6"/>
  <c r="J26" i="6"/>
  <c r="I26" i="6"/>
  <c r="H26" i="6"/>
  <c r="G26" i="6"/>
  <c r="F26" i="6"/>
  <c r="E26" i="6"/>
  <c r="D26" i="6"/>
  <c r="C26" i="6"/>
  <c r="AL25" i="6"/>
  <c r="AK25" i="6"/>
  <c r="AJ25" i="6"/>
  <c r="AI25" i="6"/>
  <c r="AH25" i="6"/>
  <c r="AG25" i="6"/>
  <c r="AF25" i="6"/>
  <c r="AE25" i="6"/>
  <c r="AD25" i="6"/>
  <c r="AC25" i="6"/>
  <c r="AB25" i="6"/>
  <c r="AA25" i="6"/>
  <c r="Z25" i="6"/>
  <c r="Y25" i="6"/>
  <c r="X25" i="6"/>
  <c r="W25" i="6"/>
  <c r="V25" i="6"/>
  <c r="U25" i="6"/>
  <c r="T25" i="6"/>
  <c r="S25" i="6"/>
  <c r="R25" i="6"/>
  <c r="Q25" i="6"/>
  <c r="P25" i="6"/>
  <c r="O25" i="6"/>
  <c r="N25" i="6"/>
  <c r="M25" i="6"/>
  <c r="L25" i="6"/>
  <c r="K25" i="6"/>
  <c r="J25" i="6"/>
  <c r="I25" i="6"/>
  <c r="H25" i="6"/>
  <c r="G25" i="6"/>
  <c r="F25" i="6"/>
  <c r="E25" i="6"/>
  <c r="D25" i="6"/>
  <c r="C25" i="6"/>
  <c r="AL24" i="6"/>
  <c r="AK24" i="6"/>
  <c r="AJ24" i="6"/>
  <c r="AI24" i="6"/>
  <c r="AH24" i="6"/>
  <c r="AG24" i="6"/>
  <c r="AF24" i="6"/>
  <c r="AE24" i="6"/>
  <c r="AD24" i="6"/>
  <c r="AC24" i="6"/>
  <c r="AB24" i="6"/>
  <c r="AA24" i="6"/>
  <c r="Z24" i="6"/>
  <c r="Y24" i="6"/>
  <c r="X24" i="6"/>
  <c r="W24" i="6"/>
  <c r="V24" i="6"/>
  <c r="U24" i="6"/>
  <c r="T24" i="6"/>
  <c r="S24" i="6"/>
  <c r="R24" i="6"/>
  <c r="Q24" i="6"/>
  <c r="P24" i="6"/>
  <c r="O24" i="6"/>
  <c r="N24" i="6"/>
  <c r="M24" i="6"/>
  <c r="L24" i="6"/>
  <c r="K24" i="6"/>
  <c r="J24" i="6"/>
  <c r="I24" i="6"/>
  <c r="H24" i="6"/>
  <c r="G24" i="6"/>
  <c r="F24" i="6"/>
  <c r="E24" i="6"/>
  <c r="D24" i="6"/>
  <c r="C15" i="5" s="1"/>
  <c r="D15" i="5" s="1"/>
  <c r="C24" i="6"/>
  <c r="AJ21" i="6"/>
  <c r="AF21" i="6"/>
  <c r="X21" i="6"/>
  <c r="T21" i="6"/>
  <c r="P21" i="6"/>
  <c r="H21" i="6"/>
  <c r="D21" i="6"/>
  <c r="AJ20" i="6"/>
  <c r="AB20" i="6"/>
  <c r="X20" i="6"/>
  <c r="U20" i="6"/>
  <c r="P20" i="6"/>
  <c r="L20" i="6"/>
  <c r="H20" i="6"/>
  <c r="AJ19" i="6"/>
  <c r="AF19" i="6"/>
  <c r="AB19" i="6"/>
  <c r="T19" i="6"/>
  <c r="P19" i="6"/>
  <c r="L19" i="6"/>
  <c r="D19" i="6"/>
  <c r="AL18" i="6"/>
  <c r="AK18" i="6"/>
  <c r="AJ18" i="6"/>
  <c r="AI18" i="6"/>
  <c r="AH18" i="6"/>
  <c r="AG18" i="6"/>
  <c r="AF18" i="6"/>
  <c r="AE18" i="6"/>
  <c r="AD18" i="6"/>
  <c r="AC18" i="6"/>
  <c r="AC19" i="6" s="1"/>
  <c r="AB18" i="6"/>
  <c r="AA18" i="6"/>
  <c r="Z18" i="6"/>
  <c r="Y18" i="6"/>
  <c r="Y19" i="6" s="1"/>
  <c r="X18" i="6"/>
  <c r="W18" i="6"/>
  <c r="V18" i="6"/>
  <c r="U18" i="6"/>
  <c r="T18" i="6"/>
  <c r="S18" i="6"/>
  <c r="R18" i="6"/>
  <c r="Q18" i="6"/>
  <c r="P18" i="6"/>
  <c r="O18" i="6"/>
  <c r="N18" i="6"/>
  <c r="M18" i="6"/>
  <c r="M20" i="6" s="1"/>
  <c r="L18" i="6"/>
  <c r="K18" i="6"/>
  <c r="J18" i="6"/>
  <c r="I18" i="6"/>
  <c r="I20" i="6" s="1"/>
  <c r="H18" i="6"/>
  <c r="G18" i="6"/>
  <c r="F18" i="6"/>
  <c r="E18" i="6"/>
  <c r="D18" i="6"/>
  <c r="C18" i="6"/>
  <c r="AK11" i="6"/>
  <c r="AG11" i="6"/>
  <c r="AF11" i="6"/>
  <c r="AC11" i="6"/>
  <c r="Y11" i="6"/>
  <c r="X11" i="6"/>
  <c r="U11" i="6"/>
  <c r="Q11" i="6"/>
  <c r="P11" i="6"/>
  <c r="M11" i="6"/>
  <c r="I11" i="6"/>
  <c r="H11" i="6"/>
  <c r="E11" i="6"/>
  <c r="AL9" i="6"/>
  <c r="AL11" i="6" s="1"/>
  <c r="AK9" i="6"/>
  <c r="AJ9" i="6"/>
  <c r="AJ11" i="6" s="1"/>
  <c r="AI9" i="6"/>
  <c r="AI11" i="6" s="1"/>
  <c r="AH9" i="6"/>
  <c r="AH11" i="6" s="1"/>
  <c r="AG9" i="6"/>
  <c r="AF9" i="6"/>
  <c r="AE9" i="6"/>
  <c r="AE11" i="6" s="1"/>
  <c r="AD9" i="6"/>
  <c r="AD11" i="6" s="1"/>
  <c r="AC9" i="6"/>
  <c r="AB9" i="6"/>
  <c r="AB11" i="6" s="1"/>
  <c r="AA9" i="6"/>
  <c r="AA11" i="6" s="1"/>
  <c r="Z9" i="6"/>
  <c r="Z11" i="6" s="1"/>
  <c r="Y9" i="6"/>
  <c r="X9" i="6"/>
  <c r="W9" i="6"/>
  <c r="W11" i="6" s="1"/>
  <c r="V9" i="6"/>
  <c r="V11" i="6" s="1"/>
  <c r="U9" i="6"/>
  <c r="T9" i="6"/>
  <c r="T11" i="6" s="1"/>
  <c r="S9" i="6"/>
  <c r="S11" i="6" s="1"/>
  <c r="R9" i="6"/>
  <c r="R11" i="6" s="1"/>
  <c r="Q9" i="6"/>
  <c r="P9" i="6"/>
  <c r="O9" i="6"/>
  <c r="O11" i="6" s="1"/>
  <c r="N9" i="6"/>
  <c r="N11" i="6" s="1"/>
  <c r="M9" i="6"/>
  <c r="L9" i="6"/>
  <c r="L11" i="6" s="1"/>
  <c r="K9" i="6"/>
  <c r="K11" i="6" s="1"/>
  <c r="J9" i="6"/>
  <c r="J11" i="6" s="1"/>
  <c r="I9" i="6"/>
  <c r="H9" i="6"/>
  <c r="G9" i="6"/>
  <c r="G11" i="6" s="1"/>
  <c r="F9" i="6"/>
  <c r="F11" i="6" s="1"/>
  <c r="E9" i="6"/>
  <c r="D9" i="6"/>
  <c r="D11" i="6" s="1"/>
  <c r="C9" i="6"/>
  <c r="C11" i="6" s="1"/>
  <c r="AL8" i="6"/>
  <c r="AK8" i="6"/>
  <c r="AJ8" i="6"/>
  <c r="AI8" i="6"/>
  <c r="AH8" i="6"/>
  <c r="AG8" i="6"/>
  <c r="AF8" i="6"/>
  <c r="AE8" i="6"/>
  <c r="AD8" i="6"/>
  <c r="AC8" i="6"/>
  <c r="AB8" i="6"/>
  <c r="AA8" i="6"/>
  <c r="Z8" i="6"/>
  <c r="Y8" i="6"/>
  <c r="X8" i="6"/>
  <c r="W8" i="6"/>
  <c r="V8" i="6"/>
  <c r="U8" i="6"/>
  <c r="T8" i="6"/>
  <c r="S8" i="6"/>
  <c r="R8" i="6"/>
  <c r="Q8" i="6"/>
  <c r="P8" i="6"/>
  <c r="O8" i="6"/>
  <c r="N8" i="6"/>
  <c r="M8" i="6"/>
  <c r="L8" i="6"/>
  <c r="K8" i="6"/>
  <c r="J8" i="6"/>
  <c r="I8" i="6"/>
  <c r="H8" i="6"/>
  <c r="G8" i="6"/>
  <c r="F8" i="6"/>
  <c r="E8" i="6"/>
  <c r="D8" i="6"/>
  <c r="C8" i="6"/>
  <c r="AL6" i="6" a="1"/>
  <c r="AL6" i="6"/>
  <c r="AK6" i="6" a="1"/>
  <c r="AK6" i="6" s="1"/>
  <c r="AJ6" i="6" a="1"/>
  <c r="AJ6" i="6"/>
  <c r="AI6" i="6" a="1"/>
  <c r="AI6" i="6" s="1"/>
  <c r="AH6" i="6" a="1"/>
  <c r="AH6" i="6"/>
  <c r="AG6" i="6" a="1"/>
  <c r="AG6" i="6" s="1"/>
  <c r="AF6" i="6" a="1"/>
  <c r="AF6" i="6"/>
  <c r="AE6" i="6" a="1"/>
  <c r="AE6" i="6" s="1"/>
  <c r="AD6" i="6" a="1"/>
  <c r="AD6" i="6"/>
  <c r="AC6" i="6" a="1"/>
  <c r="AC6" i="6" s="1"/>
  <c r="AB6" i="6" a="1"/>
  <c r="AB6" i="6"/>
  <c r="AA6" i="6" a="1"/>
  <c r="AA6" i="6" s="1"/>
  <c r="Z6" i="6" a="1"/>
  <c r="Z6" i="6"/>
  <c r="Y6" i="6" a="1"/>
  <c r="Y6" i="6" s="1"/>
  <c r="X6" i="6" a="1"/>
  <c r="X6" i="6"/>
  <c r="W6" i="6" a="1"/>
  <c r="W6" i="6" s="1"/>
  <c r="V6" i="6" a="1"/>
  <c r="V6" i="6"/>
  <c r="U6" i="6" a="1"/>
  <c r="U6" i="6" s="1"/>
  <c r="T6" i="6" a="1"/>
  <c r="T6" i="6"/>
  <c r="S6" i="6" a="1"/>
  <c r="S6" i="6" s="1"/>
  <c r="R6" i="6" a="1"/>
  <c r="R6" i="6"/>
  <c r="Q6" i="6" a="1"/>
  <c r="Q6" i="6" s="1"/>
  <c r="P6" i="6" a="1"/>
  <c r="P6" i="6"/>
  <c r="O6" i="6" a="1"/>
  <c r="O6" i="6" s="1"/>
  <c r="N6" i="6" a="1"/>
  <c r="N6" i="6"/>
  <c r="M6" i="6" a="1"/>
  <c r="M6" i="6" s="1"/>
  <c r="L6" i="6" a="1"/>
  <c r="L6" i="6"/>
  <c r="K6" i="6" a="1"/>
  <c r="K6" i="6" s="1"/>
  <c r="J6" i="6" a="1"/>
  <c r="J6" i="6"/>
  <c r="I6" i="6" a="1"/>
  <c r="I6" i="6" s="1"/>
  <c r="H6" i="6" a="1"/>
  <c r="H6" i="6"/>
  <c r="G6" i="6" a="1"/>
  <c r="G6" i="6" s="1"/>
  <c r="F6" i="6" a="1"/>
  <c r="F6" i="6"/>
  <c r="E6" i="6" a="1"/>
  <c r="E6" i="6" s="1"/>
  <c r="D6" i="6" a="1"/>
  <c r="D6" i="6"/>
  <c r="C6" i="6" a="1"/>
  <c r="C6" i="6" s="1"/>
  <c r="AK5" i="6"/>
  <c r="AK10" i="6" s="1"/>
  <c r="AK12" i="6" s="1"/>
  <c r="AJ5" i="6"/>
  <c r="AJ10" i="6" s="1"/>
  <c r="AJ12" i="6" s="1"/>
  <c r="AG5" i="6"/>
  <c r="AG10" i="6" s="1"/>
  <c r="AG12" i="6" s="1"/>
  <c r="AC5" i="6"/>
  <c r="AC10" i="6" s="1"/>
  <c r="AC12" i="6" s="1"/>
  <c r="AB5" i="6"/>
  <c r="AB10" i="6" s="1"/>
  <c r="AB12" i="6" s="1"/>
  <c r="Y5" i="6"/>
  <c r="Y10" i="6" s="1"/>
  <c r="Y12" i="6" s="1"/>
  <c r="U5" i="6"/>
  <c r="U10" i="6" s="1"/>
  <c r="U12" i="6" s="1"/>
  <c r="T5" i="6"/>
  <c r="T10" i="6" s="1"/>
  <c r="Q5" i="6"/>
  <c r="Q10" i="6" s="1"/>
  <c r="Q12" i="6" s="1"/>
  <c r="M5" i="6"/>
  <c r="M10" i="6" s="1"/>
  <c r="M12" i="6" s="1"/>
  <c r="L5" i="6"/>
  <c r="L10" i="6" s="1"/>
  <c r="I5" i="6"/>
  <c r="I10" i="6" s="1"/>
  <c r="I12" i="6" s="1"/>
  <c r="E5" i="6"/>
  <c r="E10" i="6" s="1"/>
  <c r="E12" i="6" s="1"/>
  <c r="D5" i="6"/>
  <c r="D10" i="6" s="1"/>
  <c r="D12" i="6" s="1"/>
  <c r="AL4" i="6"/>
  <c r="AL5" i="6" s="1"/>
  <c r="AL10" i="6" s="1"/>
  <c r="AL12" i="6" s="1"/>
  <c r="AK4" i="6"/>
  <c r="AJ4" i="6"/>
  <c r="AI4" i="6"/>
  <c r="AI5" i="6" s="1"/>
  <c r="AI10" i="6" s="1"/>
  <c r="AI12" i="6" s="1"/>
  <c r="AH4" i="6"/>
  <c r="AH5" i="6" s="1"/>
  <c r="AG4" i="6"/>
  <c r="AF4" i="6"/>
  <c r="AF5" i="6" s="1"/>
  <c r="AF10" i="6" s="1"/>
  <c r="AF12" i="6" s="1"/>
  <c r="AE4" i="6"/>
  <c r="AE5" i="6" s="1"/>
  <c r="AE10" i="6" s="1"/>
  <c r="AE12" i="6" s="1"/>
  <c r="AD4" i="6"/>
  <c r="AD5" i="6" s="1"/>
  <c r="AD10" i="6" s="1"/>
  <c r="AD12" i="6" s="1"/>
  <c r="AC4" i="6"/>
  <c r="AB4" i="6"/>
  <c r="AA4" i="6"/>
  <c r="AA5" i="6" s="1"/>
  <c r="AA10" i="6" s="1"/>
  <c r="AA12" i="6" s="1"/>
  <c r="Z4" i="6"/>
  <c r="Z5" i="6" s="1"/>
  <c r="Y4" i="6"/>
  <c r="X4" i="6"/>
  <c r="X5" i="6" s="1"/>
  <c r="X10" i="6" s="1"/>
  <c r="X12" i="6" s="1"/>
  <c r="W4" i="6"/>
  <c r="W5" i="6" s="1"/>
  <c r="W10" i="6" s="1"/>
  <c r="W12" i="6" s="1"/>
  <c r="V4" i="6"/>
  <c r="V5" i="6" s="1"/>
  <c r="V10" i="6" s="1"/>
  <c r="V12" i="6" s="1"/>
  <c r="U4" i="6"/>
  <c r="T4" i="6"/>
  <c r="S4" i="6"/>
  <c r="S5" i="6" s="1"/>
  <c r="S10" i="6" s="1"/>
  <c r="S12" i="6" s="1"/>
  <c r="R4" i="6"/>
  <c r="R5" i="6" s="1"/>
  <c r="Q4" i="6"/>
  <c r="P4" i="6"/>
  <c r="P5" i="6" s="1"/>
  <c r="P10" i="6" s="1"/>
  <c r="P12" i="6" s="1"/>
  <c r="O4" i="6"/>
  <c r="O5" i="6" s="1"/>
  <c r="O10" i="6" s="1"/>
  <c r="O12" i="6" s="1"/>
  <c r="N4" i="6"/>
  <c r="N5" i="6" s="1"/>
  <c r="N10" i="6" s="1"/>
  <c r="N12" i="6" s="1"/>
  <c r="M4" i="6"/>
  <c r="L4" i="6"/>
  <c r="K4" i="6"/>
  <c r="K5" i="6" s="1"/>
  <c r="K10" i="6" s="1"/>
  <c r="K12" i="6" s="1"/>
  <c r="J4" i="6"/>
  <c r="J5" i="6" s="1"/>
  <c r="I4" i="6"/>
  <c r="H4" i="6"/>
  <c r="H5" i="6" s="1"/>
  <c r="H10" i="6" s="1"/>
  <c r="H12" i="6" s="1"/>
  <c r="G4" i="6"/>
  <c r="G5" i="6" s="1"/>
  <c r="G10" i="6" s="1"/>
  <c r="G12" i="6" s="1"/>
  <c r="F4" i="6"/>
  <c r="F5" i="6" s="1"/>
  <c r="F10" i="6" s="1"/>
  <c r="F12" i="6" s="1"/>
  <c r="E4" i="6"/>
  <c r="D4" i="6"/>
  <c r="C4" i="6"/>
  <c r="C5" i="6" s="1"/>
  <c r="C10" i="6" s="1"/>
  <c r="C12" i="6" s="1"/>
  <c r="C16" i="5"/>
  <c r="C58" i="4"/>
  <c r="C52" i="4"/>
  <c r="C29" i="4"/>
  <c r="C28" i="4"/>
  <c r="C27" i="4"/>
  <c r="C49" i="3"/>
  <c r="C42" i="3"/>
  <c r="C41" i="3"/>
  <c r="C27" i="5" s="1"/>
  <c r="C34" i="3"/>
  <c r="C33" i="3"/>
  <c r="C32" i="3"/>
  <c r="D15" i="6" l="1"/>
  <c r="D14" i="6"/>
  <c r="D16" i="6" s="1"/>
  <c r="Y16" i="6"/>
  <c r="Y15" i="6"/>
  <c r="Y14" i="6"/>
  <c r="P16" i="6"/>
  <c r="P15" i="6"/>
  <c r="P14" i="6"/>
  <c r="AF15" i="6"/>
  <c r="AF14" i="6"/>
  <c r="AF16" i="6" s="1"/>
  <c r="Q15" i="6"/>
  <c r="Q14" i="6"/>
  <c r="Q16" i="6" s="1"/>
  <c r="AB14" i="6"/>
  <c r="AB15" i="6"/>
  <c r="AB16" i="6" s="1"/>
  <c r="I15" i="6"/>
  <c r="I14" i="6"/>
  <c r="I16" i="6" s="1"/>
  <c r="T12" i="6"/>
  <c r="AC14" i="6"/>
  <c r="AC16" i="6" s="1"/>
  <c r="AC15" i="6"/>
  <c r="M14" i="6"/>
  <c r="M16" i="6" s="1"/>
  <c r="M15" i="6"/>
  <c r="AJ15" i="6"/>
  <c r="AJ16" i="6" s="1"/>
  <c r="AJ14" i="6"/>
  <c r="H14" i="6"/>
  <c r="H16" i="6" s="1"/>
  <c r="H15" i="6"/>
  <c r="X14" i="6"/>
  <c r="X15" i="6"/>
  <c r="X16" i="6" s="1"/>
  <c r="E14" i="6"/>
  <c r="E16" i="6" s="1"/>
  <c r="E15" i="6"/>
  <c r="AK16" i="6"/>
  <c r="AK14" i="6"/>
  <c r="AK15" i="6"/>
  <c r="L12" i="6"/>
  <c r="U16" i="6"/>
  <c r="U14" i="6"/>
  <c r="U15" i="6"/>
  <c r="AG16" i="6"/>
  <c r="AG15" i="6"/>
  <c r="AG14" i="6"/>
  <c r="B11" i="11"/>
  <c r="D11" i="11"/>
  <c r="C16" i="6"/>
  <c r="C15" i="6"/>
  <c r="C14" i="6"/>
  <c r="K16" i="6"/>
  <c r="K15" i="6"/>
  <c r="K14" i="6"/>
  <c r="S15" i="6"/>
  <c r="S16" i="6" s="1"/>
  <c r="S14" i="6"/>
  <c r="AA15" i="6"/>
  <c r="AA14" i="6"/>
  <c r="AA16" i="6" s="1"/>
  <c r="AI15" i="6"/>
  <c r="AI14" i="6"/>
  <c r="AI16" i="6" s="1"/>
  <c r="C53" i="4"/>
  <c r="C54" i="4" s="1"/>
  <c r="C55" i="4" s="1"/>
  <c r="C14" i="5"/>
  <c r="H19" i="6"/>
  <c r="X19" i="6"/>
  <c r="D20" i="6"/>
  <c r="T20" i="6"/>
  <c r="AF20" i="6"/>
  <c r="L21" i="6"/>
  <c r="AB21" i="6"/>
  <c r="G31" i="12"/>
  <c r="C31" i="12"/>
  <c r="L6" i="9"/>
  <c r="H6" i="9"/>
  <c r="D6" i="9"/>
  <c r="F31" i="12"/>
  <c r="E31" i="12"/>
  <c r="N6" i="9"/>
  <c r="J6" i="9"/>
  <c r="F6" i="9"/>
  <c r="D31" i="12"/>
  <c r="M6" i="9"/>
  <c r="E6" i="9"/>
  <c r="I6" i="9"/>
  <c r="G6" i="9"/>
  <c r="C6" i="9"/>
  <c r="AJ32" i="6"/>
  <c r="AJ16" i="7" s="1"/>
  <c r="AF32" i="6"/>
  <c r="AF16" i="7" s="1"/>
  <c r="AB32" i="6"/>
  <c r="AB16" i="7" s="1"/>
  <c r="X32" i="6"/>
  <c r="X16" i="7" s="1"/>
  <c r="T32" i="6"/>
  <c r="T16" i="7" s="1"/>
  <c r="P32" i="6"/>
  <c r="P16" i="7" s="1"/>
  <c r="L32" i="6"/>
  <c r="L16" i="7" s="1"/>
  <c r="H32" i="6"/>
  <c r="H16" i="7" s="1"/>
  <c r="D32" i="6"/>
  <c r="D16" i="7" s="1"/>
  <c r="AI32" i="6"/>
  <c r="AI16" i="7" s="1"/>
  <c r="AE32" i="6"/>
  <c r="AE16" i="7" s="1"/>
  <c r="AA32" i="6"/>
  <c r="AA16" i="7" s="1"/>
  <c r="W32" i="6"/>
  <c r="W16" i="7" s="1"/>
  <c r="S32" i="6"/>
  <c r="S16" i="7" s="1"/>
  <c r="O32" i="6"/>
  <c r="O16" i="7" s="1"/>
  <c r="K32" i="6"/>
  <c r="K16" i="7" s="1"/>
  <c r="G32" i="6"/>
  <c r="G16" i="7" s="1"/>
  <c r="C32" i="6"/>
  <c r="C16" i="7" s="1"/>
  <c r="K6" i="9"/>
  <c r="AL32" i="6"/>
  <c r="AL16" i="7" s="1"/>
  <c r="AH32" i="6"/>
  <c r="AH16" i="7" s="1"/>
  <c r="AD32" i="6"/>
  <c r="AD16" i="7" s="1"/>
  <c r="Z32" i="6"/>
  <c r="Z16" i="7" s="1"/>
  <c r="V32" i="6"/>
  <c r="V16" i="7" s="1"/>
  <c r="R32" i="6"/>
  <c r="R16" i="7" s="1"/>
  <c r="N32" i="6"/>
  <c r="N16" i="7" s="1"/>
  <c r="J32" i="6"/>
  <c r="J16" i="7" s="1"/>
  <c r="F32" i="6"/>
  <c r="F16" i="7" s="1"/>
  <c r="AC32" i="6"/>
  <c r="AC16" i="7" s="1"/>
  <c r="M32" i="6"/>
  <c r="M16" i="7" s="1"/>
  <c r="Y32" i="6"/>
  <c r="Y16" i="7" s="1"/>
  <c r="I32" i="6"/>
  <c r="I16" i="7" s="1"/>
  <c r="AK32" i="6"/>
  <c r="AK16" i="7" s="1"/>
  <c r="U32" i="6"/>
  <c r="U16" i="7" s="1"/>
  <c r="E32" i="6"/>
  <c r="E16" i="7" s="1"/>
  <c r="G15" i="6"/>
  <c r="G16" i="6" s="1"/>
  <c r="G14" i="6"/>
  <c r="O15" i="6"/>
  <c r="O16" i="6" s="1"/>
  <c r="O14" i="6"/>
  <c r="W15" i="6"/>
  <c r="W14" i="6"/>
  <c r="W16" i="6" s="1"/>
  <c r="AE15" i="6"/>
  <c r="AE14" i="6"/>
  <c r="AE16" i="6" s="1"/>
  <c r="AG32" i="6"/>
  <c r="AG16" i="7" s="1"/>
  <c r="F65" i="12"/>
  <c r="E65" i="12"/>
  <c r="D65" i="12"/>
  <c r="G65" i="12"/>
  <c r="C57" i="12"/>
  <c r="C65" i="12" s="1"/>
  <c r="L18" i="9"/>
  <c r="H18" i="9"/>
  <c r="D18" i="9"/>
  <c r="N18" i="9"/>
  <c r="J18" i="9"/>
  <c r="F18" i="9"/>
  <c r="M18" i="9"/>
  <c r="E18" i="9"/>
  <c r="I18" i="9"/>
  <c r="B25" i="7"/>
  <c r="G18" i="9"/>
  <c r="C18" i="9"/>
  <c r="K18" i="9"/>
  <c r="D16" i="5"/>
  <c r="F16" i="6"/>
  <c r="F15" i="6"/>
  <c r="F14" i="6"/>
  <c r="J10" i="6"/>
  <c r="J12" i="6" s="1"/>
  <c r="N16" i="6"/>
  <c r="N15" i="6"/>
  <c r="N14" i="6"/>
  <c r="R10" i="6"/>
  <c r="R12" i="6" s="1"/>
  <c r="V16" i="6"/>
  <c r="V15" i="6"/>
  <c r="V14" i="6"/>
  <c r="Z10" i="6"/>
  <c r="Z12" i="6" s="1"/>
  <c r="AD16" i="6"/>
  <c r="AD15" i="6"/>
  <c r="AD14" i="6"/>
  <c r="AH10" i="6"/>
  <c r="AH12" i="6" s="1"/>
  <c r="AL16" i="6"/>
  <c r="AL15" i="6"/>
  <c r="AL14" i="6"/>
  <c r="Q32" i="6"/>
  <c r="Q16" i="7" s="1"/>
  <c r="Y20" i="6"/>
  <c r="AC20" i="6"/>
  <c r="AG20" i="6"/>
  <c r="AK20" i="6"/>
  <c r="E21" i="6"/>
  <c r="I21" i="6"/>
  <c r="M21" i="6"/>
  <c r="Q21" i="6"/>
  <c r="U21" i="6"/>
  <c r="Y21" i="6"/>
  <c r="AC21" i="6"/>
  <c r="AG21" i="6"/>
  <c r="AK21" i="6"/>
  <c r="E19" i="6"/>
  <c r="I19" i="6"/>
  <c r="M19" i="6"/>
  <c r="Q19" i="6"/>
  <c r="U19" i="6"/>
  <c r="AG19" i="6"/>
  <c r="AK19" i="6"/>
  <c r="E20" i="6"/>
  <c r="Q20" i="6"/>
  <c r="F19" i="6"/>
  <c r="J19" i="6"/>
  <c r="N19" i="6"/>
  <c r="R19" i="6"/>
  <c r="V19" i="6"/>
  <c r="Z19" i="6"/>
  <c r="AD19" i="6"/>
  <c r="AH19" i="6"/>
  <c r="AL19" i="6"/>
  <c r="F20" i="6"/>
  <c r="J20" i="6"/>
  <c r="N20" i="6"/>
  <c r="R20" i="6"/>
  <c r="V20" i="6"/>
  <c r="Z20" i="6"/>
  <c r="AD20" i="6"/>
  <c r="AH20" i="6"/>
  <c r="AL20" i="6"/>
  <c r="F21" i="6"/>
  <c r="J21" i="6"/>
  <c r="N21" i="6"/>
  <c r="R21" i="6"/>
  <c r="V21" i="6"/>
  <c r="Z21" i="6"/>
  <c r="AD21" i="6"/>
  <c r="AH21" i="6"/>
  <c r="AL21" i="6"/>
  <c r="L16" i="9"/>
  <c r="H16" i="9"/>
  <c r="D16" i="9"/>
  <c r="N16" i="9"/>
  <c r="J16" i="9"/>
  <c r="F16" i="9"/>
  <c r="I16" i="9"/>
  <c r="M16" i="9"/>
  <c r="E16" i="9"/>
  <c r="C16" i="9"/>
  <c r="K16" i="9"/>
  <c r="G16" i="9"/>
  <c r="B9" i="11"/>
  <c r="D9" i="11"/>
  <c r="C19" i="6"/>
  <c r="G19" i="6"/>
  <c r="K19" i="6"/>
  <c r="O19" i="6"/>
  <c r="S19" i="6"/>
  <c r="W19" i="6"/>
  <c r="AA19" i="6"/>
  <c r="AE19" i="6"/>
  <c r="AI19" i="6"/>
  <c r="C20" i="6"/>
  <c r="G20" i="6"/>
  <c r="K20" i="6"/>
  <c r="O20" i="6"/>
  <c r="S20" i="6"/>
  <c r="W20" i="6"/>
  <c r="AA20" i="6"/>
  <c r="AE20" i="6"/>
  <c r="AI20" i="6"/>
  <c r="C21" i="6"/>
  <c r="G21" i="6"/>
  <c r="K21" i="6"/>
  <c r="O21" i="6"/>
  <c r="S21" i="6"/>
  <c r="W21" i="6"/>
  <c r="AA21" i="6"/>
  <c r="AE21" i="6"/>
  <c r="AI21" i="6"/>
  <c r="B8" i="11"/>
  <c r="D8" i="11"/>
  <c r="C28" i="12"/>
  <c r="C32" i="12"/>
  <c r="AJ31" i="6" l="1"/>
  <c r="AJ33" i="6" s="1"/>
  <c r="AE31" i="6"/>
  <c r="AE33" i="6" s="1"/>
  <c r="AE38" i="6" s="1"/>
  <c r="F32" i="12"/>
  <c r="E32" i="12"/>
  <c r="D32" i="12"/>
  <c r="G32" i="12"/>
  <c r="AJ35" i="6"/>
  <c r="AF35" i="6"/>
  <c r="AB35" i="6"/>
  <c r="X35" i="6"/>
  <c r="T35" i="6"/>
  <c r="P35" i="6"/>
  <c r="L35" i="6"/>
  <c r="H35" i="6"/>
  <c r="D35" i="6"/>
  <c r="AI35" i="6"/>
  <c r="AE35" i="6"/>
  <c r="AA35" i="6"/>
  <c r="W35" i="6"/>
  <c r="S35" i="6"/>
  <c r="O35" i="6"/>
  <c r="K35" i="6"/>
  <c r="G35" i="6"/>
  <c r="C35" i="6"/>
  <c r="AL35" i="6"/>
  <c r="AH35" i="6"/>
  <c r="AD35" i="6"/>
  <c r="Z35" i="6"/>
  <c r="V35" i="6"/>
  <c r="R35" i="6"/>
  <c r="N35" i="6"/>
  <c r="J35" i="6"/>
  <c r="F35" i="6"/>
  <c r="AK35" i="6"/>
  <c r="U35" i="6"/>
  <c r="E35" i="6"/>
  <c r="AI22" i="6"/>
  <c r="AE22" i="6"/>
  <c r="AA22" i="6"/>
  <c r="W22" i="6"/>
  <c r="S22" i="6"/>
  <c r="O22" i="6"/>
  <c r="K22" i="6"/>
  <c r="G22" i="6"/>
  <c r="C22" i="6"/>
  <c r="C60" i="4"/>
  <c r="C61" i="4" s="1"/>
  <c r="C56" i="4"/>
  <c r="C57" i="4" s="1"/>
  <c r="C36" i="6" s="1"/>
  <c r="AG35" i="6"/>
  <c r="Q35" i="6"/>
  <c r="AL22" i="6"/>
  <c r="AH22" i="6"/>
  <c r="AH23" i="6" s="1"/>
  <c r="AH30" i="6" s="1"/>
  <c r="AD22" i="6"/>
  <c r="Z22" i="6"/>
  <c r="V22" i="6"/>
  <c r="R22" i="6"/>
  <c r="R23" i="6" s="1"/>
  <c r="R30" i="6" s="1"/>
  <c r="N22" i="6"/>
  <c r="J22" i="6"/>
  <c r="F22" i="6"/>
  <c r="C59" i="4"/>
  <c r="AC35" i="6"/>
  <c r="M35" i="6"/>
  <c r="AK22" i="6"/>
  <c r="AG22" i="6"/>
  <c r="AG23" i="6" s="1"/>
  <c r="AG30" i="6" s="1"/>
  <c r="AG31" i="6" s="1"/>
  <c r="AG33" i="6" s="1"/>
  <c r="AG38" i="6" s="1"/>
  <c r="AC22" i="6"/>
  <c r="AC23" i="6" s="1"/>
  <c r="AC30" i="6" s="1"/>
  <c r="AC31" i="6" s="1"/>
  <c r="AC33" i="6" s="1"/>
  <c r="AC38" i="6" s="1"/>
  <c r="Y22" i="6"/>
  <c r="Y23" i="6" s="1"/>
  <c r="Y30" i="6" s="1"/>
  <c r="Y31" i="6" s="1"/>
  <c r="Y33" i="6" s="1"/>
  <c r="Y38" i="6" s="1"/>
  <c r="U22" i="6"/>
  <c r="Q22" i="6"/>
  <c r="Q23" i="6" s="1"/>
  <c r="Q30" i="6" s="1"/>
  <c r="Q31" i="6" s="1"/>
  <c r="Q33" i="6" s="1"/>
  <c r="Q38" i="6" s="1"/>
  <c r="M22" i="6"/>
  <c r="I22" i="6"/>
  <c r="E22" i="6"/>
  <c r="I35" i="6"/>
  <c r="AB22" i="6"/>
  <c r="AB23" i="6" s="1"/>
  <c r="AB30" i="6" s="1"/>
  <c r="AB31" i="6" s="1"/>
  <c r="AB33" i="6" s="1"/>
  <c r="AB38" i="6" s="1"/>
  <c r="L22" i="6"/>
  <c r="L23" i="6" s="1"/>
  <c r="L30" i="6" s="1"/>
  <c r="AF22" i="6"/>
  <c r="AF23" i="6" s="1"/>
  <c r="AF30" i="6" s="1"/>
  <c r="AF31" i="6" s="1"/>
  <c r="AF33" i="6" s="1"/>
  <c r="AF38" i="6" s="1"/>
  <c r="X22" i="6"/>
  <c r="H22" i="6"/>
  <c r="AJ22" i="6"/>
  <c r="AJ23" i="6" s="1"/>
  <c r="AJ30" i="6" s="1"/>
  <c r="T22" i="6"/>
  <c r="T23" i="6" s="1"/>
  <c r="T30" i="6" s="1"/>
  <c r="D22" i="6"/>
  <c r="D23" i="6" s="1"/>
  <c r="D30" i="6" s="1"/>
  <c r="D31" i="6" s="1"/>
  <c r="D33" i="6" s="1"/>
  <c r="D38" i="6" s="1"/>
  <c r="Y35" i="6"/>
  <c r="P22" i="6"/>
  <c r="P23" i="6" s="1"/>
  <c r="P30" i="6" s="1"/>
  <c r="L16" i="6"/>
  <c r="L14" i="6"/>
  <c r="L15" i="6"/>
  <c r="W23" i="6"/>
  <c r="W30" i="6" s="1"/>
  <c r="W31" i="6" s="1"/>
  <c r="W33" i="6" s="1"/>
  <c r="W38" i="6" s="1"/>
  <c r="G23" i="6"/>
  <c r="G30" i="6" s="1"/>
  <c r="G31" i="6" s="1"/>
  <c r="G33" i="6" s="1"/>
  <c r="G38" i="6" s="1"/>
  <c r="I23" i="6"/>
  <c r="I30" i="6" s="1"/>
  <c r="I31" i="6" s="1"/>
  <c r="I33" i="6" s="1"/>
  <c r="I38" i="6" s="1"/>
  <c r="AH15" i="6"/>
  <c r="AH14" i="6"/>
  <c r="AH16" i="6" s="1"/>
  <c r="AH31" i="6" s="1"/>
  <c r="AH33" i="6" s="1"/>
  <c r="AH38" i="6" s="1"/>
  <c r="Z16" i="6"/>
  <c r="Z31" i="6" s="1"/>
  <c r="Z33" i="6" s="1"/>
  <c r="Z38" i="6" s="1"/>
  <c r="Z15" i="6"/>
  <c r="Z14" i="6"/>
  <c r="R15" i="6"/>
  <c r="C12" i="5" s="1"/>
  <c r="R14" i="6"/>
  <c r="R16" i="6" s="1"/>
  <c r="R31" i="6" s="1"/>
  <c r="R33" i="6" s="1"/>
  <c r="R38" i="6" s="1"/>
  <c r="J15" i="6"/>
  <c r="J14" i="6"/>
  <c r="J16" i="6" s="1"/>
  <c r="E14" i="5"/>
  <c r="D14" i="5"/>
  <c r="C10" i="5"/>
  <c r="K23" i="6"/>
  <c r="K30" i="6" s="1"/>
  <c r="K31" i="6" s="1"/>
  <c r="K33" i="6" s="1"/>
  <c r="K38" i="6" s="1"/>
  <c r="V23" i="6"/>
  <c r="V30" i="6" s="1"/>
  <c r="AK23" i="6"/>
  <c r="AK30" i="6" s="1"/>
  <c r="AD31" i="6"/>
  <c r="AD33" i="6" s="1"/>
  <c r="AD38" i="6" s="1"/>
  <c r="P31" i="6"/>
  <c r="P33" i="6" s="1"/>
  <c r="P38" i="6" s="1"/>
  <c r="F28" i="12"/>
  <c r="E28" i="12"/>
  <c r="D28" i="12"/>
  <c r="G28" i="12"/>
  <c r="AI23" i="6"/>
  <c r="AI30" i="6" s="1"/>
  <c r="AI31" i="6" s="1"/>
  <c r="AI33" i="6" s="1"/>
  <c r="AI38" i="6" s="1"/>
  <c r="S23" i="6"/>
  <c r="S30" i="6" s="1"/>
  <c r="S31" i="6" s="1"/>
  <c r="S33" i="6" s="1"/>
  <c r="S38" i="6" s="1"/>
  <c r="C23" i="6"/>
  <c r="C30" i="6" s="1"/>
  <c r="AD23" i="6"/>
  <c r="AD30" i="6" s="1"/>
  <c r="N23" i="6"/>
  <c r="N30" i="6" s="1"/>
  <c r="U23" i="6"/>
  <c r="U30" i="6" s="1"/>
  <c r="E23" i="6"/>
  <c r="E30" i="6" s="1"/>
  <c r="E31" i="6" s="1"/>
  <c r="E33" i="6" s="1"/>
  <c r="E38" i="6" s="1"/>
  <c r="E16" i="5"/>
  <c r="B26" i="7"/>
  <c r="C21" i="12"/>
  <c r="AA23" i="6"/>
  <c r="AA30" i="6" s="1"/>
  <c r="AA31" i="6" s="1"/>
  <c r="AA33" i="6" s="1"/>
  <c r="AA38" i="6" s="1"/>
  <c r="AL23" i="6"/>
  <c r="AL30" i="6" s="1"/>
  <c r="AL31" i="6" s="1"/>
  <c r="AL33" i="6" s="1"/>
  <c r="AL38" i="6" s="1"/>
  <c r="F23" i="6"/>
  <c r="F30" i="6" s="1"/>
  <c r="F31" i="6" s="1"/>
  <c r="F33" i="6" s="1"/>
  <c r="F38" i="6" s="1"/>
  <c r="M23" i="6"/>
  <c r="M30" i="6" s="1"/>
  <c r="M31" i="6" s="1"/>
  <c r="M33" i="6" s="1"/>
  <c r="M38" i="6" s="1"/>
  <c r="V31" i="6"/>
  <c r="V33" i="6" s="1"/>
  <c r="V38" i="6" s="1"/>
  <c r="N31" i="6"/>
  <c r="N33" i="6" s="1"/>
  <c r="N38" i="6" s="1"/>
  <c r="H23" i="6"/>
  <c r="H30" i="6" s="1"/>
  <c r="H31" i="6" s="1"/>
  <c r="H33" i="6" s="1"/>
  <c r="H38" i="6" s="1"/>
  <c r="C31" i="6"/>
  <c r="AE23" i="6"/>
  <c r="AE30" i="6" s="1"/>
  <c r="O23" i="6"/>
  <c r="O30" i="6" s="1"/>
  <c r="O31" i="6" s="1"/>
  <c r="O33" i="6" s="1"/>
  <c r="O38" i="6" s="1"/>
  <c r="Z23" i="6"/>
  <c r="Z30" i="6" s="1"/>
  <c r="J23" i="6"/>
  <c r="J30" i="6" s="1"/>
  <c r="X23" i="6"/>
  <c r="X30" i="6" s="1"/>
  <c r="X31" i="6" s="1"/>
  <c r="X33" i="6" s="1"/>
  <c r="X38" i="6" s="1"/>
  <c r="E15" i="5"/>
  <c r="U31" i="6"/>
  <c r="U33" i="6" s="1"/>
  <c r="AK31" i="6"/>
  <c r="AK33" i="6" s="1"/>
  <c r="AK38" i="6" s="1"/>
  <c r="B37" i="5"/>
  <c r="T15" i="6"/>
  <c r="T14" i="6"/>
  <c r="T16" i="6" s="1"/>
  <c r="T31" i="6" s="1"/>
  <c r="T33" i="6" s="1"/>
  <c r="T38" i="6" s="1"/>
  <c r="AL15" i="7" l="1"/>
  <c r="AL18" i="7" s="1"/>
  <c r="AL39" i="6"/>
  <c r="AC15" i="7"/>
  <c r="AC18" i="7" s="1"/>
  <c r="AC39" i="6"/>
  <c r="AA39" i="6"/>
  <c r="AA15" i="7"/>
  <c r="AA18" i="7" s="1"/>
  <c r="I15" i="7"/>
  <c r="I18" i="7" s="1"/>
  <c r="I39" i="6"/>
  <c r="D15" i="7"/>
  <c r="D18" i="7" s="1"/>
  <c r="D39" i="6"/>
  <c r="Q15" i="7"/>
  <c r="Q18" i="7" s="1"/>
  <c r="Q39" i="6"/>
  <c r="AG15" i="7"/>
  <c r="AG18" i="7" s="1"/>
  <c r="AG39" i="6"/>
  <c r="O39" i="6"/>
  <c r="O15" i="7"/>
  <c r="O18" i="7" s="1"/>
  <c r="K39" i="6"/>
  <c r="K15" i="7"/>
  <c r="K18" i="7" s="1"/>
  <c r="J31" i="6"/>
  <c r="J33" i="6" s="1"/>
  <c r="J38" i="6" s="1"/>
  <c r="C13" i="5"/>
  <c r="AB15" i="7"/>
  <c r="AB18" i="7" s="1"/>
  <c r="AB39" i="6"/>
  <c r="X15" i="7"/>
  <c r="X18" i="7" s="1"/>
  <c r="X39" i="6"/>
  <c r="E15" i="7"/>
  <c r="E18" i="7" s="1"/>
  <c r="E39" i="6"/>
  <c r="M15" i="7"/>
  <c r="M18" i="7" s="1"/>
  <c r="M39" i="6"/>
  <c r="S39" i="6"/>
  <c r="S15" i="7"/>
  <c r="S18" i="7" s="1"/>
  <c r="R15" i="7"/>
  <c r="R18" i="7" s="1"/>
  <c r="R39" i="6"/>
  <c r="G39" i="6"/>
  <c r="G15" i="7"/>
  <c r="G18" i="7" s="1"/>
  <c r="AF15" i="7"/>
  <c r="AF18" i="7" s="1"/>
  <c r="AF39" i="6"/>
  <c r="T15" i="7"/>
  <c r="T18" i="7" s="1"/>
  <c r="T39" i="6"/>
  <c r="H15" i="7"/>
  <c r="H18" i="7" s="1"/>
  <c r="H39" i="6"/>
  <c r="F15" i="7"/>
  <c r="F18" i="7" s="1"/>
  <c r="F39" i="6"/>
  <c r="AI39" i="6"/>
  <c r="AI15" i="7"/>
  <c r="AI18" i="7" s="1"/>
  <c r="E12" i="5"/>
  <c r="D12" i="5"/>
  <c r="AH15" i="7"/>
  <c r="AH18" i="7" s="1"/>
  <c r="AH39" i="6"/>
  <c r="W39" i="6"/>
  <c r="W15" i="7"/>
  <c r="W18" i="7" s="1"/>
  <c r="Y15" i="7"/>
  <c r="Y18" i="7" s="1"/>
  <c r="Y39" i="6"/>
  <c r="AD15" i="7"/>
  <c r="AD18" i="7" s="1"/>
  <c r="AD39" i="6"/>
  <c r="L31" i="6"/>
  <c r="L33" i="6" s="1"/>
  <c r="L38" i="6" s="1"/>
  <c r="AE39" i="6"/>
  <c r="AE15" i="7"/>
  <c r="AE18" i="7" s="1"/>
  <c r="V15" i="7"/>
  <c r="V18" i="7" s="1"/>
  <c r="V39" i="6"/>
  <c r="E10" i="5"/>
  <c r="D10" i="5"/>
  <c r="C43" i="3"/>
  <c r="C62" i="4"/>
  <c r="C33" i="6"/>
  <c r="C38" i="6" s="1"/>
  <c r="C11" i="5"/>
  <c r="Z15" i="7"/>
  <c r="Z18" i="7" s="1"/>
  <c r="Z39" i="6"/>
  <c r="AJ38" i="6"/>
  <c r="U38" i="6"/>
  <c r="E11" i="10" s="1"/>
  <c r="AK15" i="7"/>
  <c r="AK18" i="7" s="1"/>
  <c r="AK39" i="6"/>
  <c r="N15" i="7"/>
  <c r="N18" i="7" s="1"/>
  <c r="N39" i="6"/>
  <c r="C22" i="12"/>
  <c r="C24" i="12" s="1"/>
  <c r="D21" i="12"/>
  <c r="G21" i="12"/>
  <c r="F21" i="12"/>
  <c r="C23" i="12"/>
  <c r="E21" i="12"/>
  <c r="C33" i="12"/>
  <c r="P15" i="7"/>
  <c r="P18" i="7" s="1"/>
  <c r="P39" i="6"/>
  <c r="C18" i="5"/>
  <c r="F23" i="12" l="1"/>
  <c r="F22" i="12"/>
  <c r="F24" i="12"/>
  <c r="F30" i="12" s="1"/>
  <c r="F35" i="12" s="1"/>
  <c r="F33" i="12"/>
  <c r="AH25" i="7"/>
  <c r="AH21" i="7"/>
  <c r="AF21" i="7"/>
  <c r="AF25" i="7"/>
  <c r="M21" i="7"/>
  <c r="M25" i="7"/>
  <c r="F7" i="10"/>
  <c r="F5" i="10"/>
  <c r="AJ15" i="7"/>
  <c r="AJ18" i="7" s="1"/>
  <c r="AJ39" i="6"/>
  <c r="D13" i="10"/>
  <c r="F13" i="10"/>
  <c r="C13" i="10"/>
  <c r="G13" i="10"/>
  <c r="S25" i="7"/>
  <c r="S21" i="7"/>
  <c r="K21" i="7"/>
  <c r="K25" i="7"/>
  <c r="E9" i="10"/>
  <c r="G5" i="10"/>
  <c r="E5" i="10"/>
  <c r="E7" i="10"/>
  <c r="D5" i="10"/>
  <c r="Q21" i="7"/>
  <c r="Q25" i="7"/>
  <c r="I25" i="7"/>
  <c r="I21" i="7"/>
  <c r="AC21" i="7"/>
  <c r="AC25" i="7"/>
  <c r="P21" i="7"/>
  <c r="P25" i="7"/>
  <c r="U15" i="7"/>
  <c r="U18" i="7" s="1"/>
  <c r="U39" i="6"/>
  <c r="L15" i="7"/>
  <c r="L18" i="7" s="1"/>
  <c r="L39" i="6"/>
  <c r="J15" i="7"/>
  <c r="J18" i="7" s="1"/>
  <c r="J39" i="6"/>
  <c r="E13" i="10"/>
  <c r="F9" i="10"/>
  <c r="N25" i="7"/>
  <c r="N21" i="7"/>
  <c r="D11" i="5"/>
  <c r="E11" i="5"/>
  <c r="V25" i="7"/>
  <c r="V21" i="7"/>
  <c r="W25" i="7"/>
  <c r="W21" i="7"/>
  <c r="G25" i="7"/>
  <c r="G21" i="7"/>
  <c r="E18" i="5"/>
  <c r="D18" i="5"/>
  <c r="E24" i="12"/>
  <c r="E23" i="12"/>
  <c r="E22" i="12"/>
  <c r="E33" i="12"/>
  <c r="C17" i="5"/>
  <c r="AE25" i="7"/>
  <c r="AE21" i="7"/>
  <c r="AD25" i="7"/>
  <c r="AD21" i="7"/>
  <c r="F25" i="7"/>
  <c r="F21" i="7"/>
  <c r="T25" i="7"/>
  <c r="T21" i="7"/>
  <c r="E21" i="7"/>
  <c r="E25" i="7"/>
  <c r="AB21" i="7"/>
  <c r="AB25" i="7"/>
  <c r="C5" i="10"/>
  <c r="D7" i="10"/>
  <c r="C9" i="10"/>
  <c r="D9" i="10"/>
  <c r="C7" i="10"/>
  <c r="AA21" i="7"/>
  <c r="AA25" i="7"/>
  <c r="D24" i="12"/>
  <c r="D23" i="12"/>
  <c r="D22" i="12"/>
  <c r="D33" i="12"/>
  <c r="E18" i="12"/>
  <c r="E26" i="12" s="1"/>
  <c r="E29" i="12" s="1"/>
  <c r="D18" i="12"/>
  <c r="D26" i="12" s="1"/>
  <c r="D29" i="12" s="1"/>
  <c r="G18" i="12"/>
  <c r="G26" i="12" s="1"/>
  <c r="G29" i="12" s="1"/>
  <c r="C18" i="12"/>
  <c r="C26" i="12" s="1"/>
  <c r="C29" i="12" s="1"/>
  <c r="F18" i="12"/>
  <c r="F26" i="12" s="1"/>
  <c r="F29" i="12" s="1"/>
  <c r="Y25" i="7"/>
  <c r="Y21" i="7"/>
  <c r="H25" i="7"/>
  <c r="H21" i="7"/>
  <c r="R25" i="7"/>
  <c r="R21" i="7"/>
  <c r="X25" i="7"/>
  <c r="X21" i="7"/>
  <c r="G11" i="10"/>
  <c r="G22" i="12"/>
  <c r="G24" i="12"/>
  <c r="G30" i="12" s="1"/>
  <c r="G35" i="12" s="1"/>
  <c r="G23" i="12"/>
  <c r="G33" i="12"/>
  <c r="AK21" i="7"/>
  <c r="AK25" i="7"/>
  <c r="Z25" i="7"/>
  <c r="Z21" i="7"/>
  <c r="L19" i="9"/>
  <c r="L21" i="9" s="1"/>
  <c r="H19" i="9"/>
  <c r="H21" i="9" s="1"/>
  <c r="D19" i="9"/>
  <c r="D21" i="9" s="1"/>
  <c r="B6" i="11"/>
  <c r="N19" i="9"/>
  <c r="N21" i="9" s="1"/>
  <c r="J19" i="9"/>
  <c r="J21" i="9" s="1"/>
  <c r="F19" i="9"/>
  <c r="F21" i="9" s="1"/>
  <c r="I19" i="9"/>
  <c r="I21" i="9" s="1"/>
  <c r="M19" i="9"/>
  <c r="M21" i="9" s="1"/>
  <c r="E19" i="9"/>
  <c r="E21" i="9" s="1"/>
  <c r="K19" i="9"/>
  <c r="K21" i="9" s="1"/>
  <c r="C39" i="6"/>
  <c r="G19" i="9"/>
  <c r="G21" i="9" s="1"/>
  <c r="D6" i="11"/>
  <c r="C19" i="9"/>
  <c r="C21" i="9" s="1"/>
  <c r="C15" i="7"/>
  <c r="C18" i="7" s="1"/>
  <c r="C19" i="5"/>
  <c r="AI25" i="7"/>
  <c r="AI21" i="7"/>
  <c r="E13" i="5"/>
  <c r="D13" i="5"/>
  <c r="O25" i="7"/>
  <c r="O21" i="7"/>
  <c r="D11" i="10"/>
  <c r="G9" i="10"/>
  <c r="F11" i="10"/>
  <c r="C11" i="10"/>
  <c r="G7" i="10"/>
  <c r="AG21" i="7"/>
  <c r="AG25" i="7"/>
  <c r="D25" i="7"/>
  <c r="D21" i="7"/>
  <c r="AL25" i="7"/>
  <c r="AL21" i="7"/>
  <c r="C77" i="12" l="1"/>
  <c r="G38" i="12"/>
  <c r="G41" i="12"/>
  <c r="C58" i="12"/>
  <c r="C42" i="12"/>
  <c r="D49" i="12"/>
  <c r="D47" i="12"/>
  <c r="E47" i="12" s="1"/>
  <c r="D48" i="12"/>
  <c r="F41" i="12"/>
  <c r="F39" i="12"/>
  <c r="F40" i="12" s="1"/>
  <c r="C76" i="12" s="1"/>
  <c r="F38" i="12"/>
  <c r="D19" i="5"/>
  <c r="E19" i="5"/>
  <c r="G66" i="12"/>
  <c r="G67" i="12" s="1"/>
  <c r="G69" i="12" s="1"/>
  <c r="G42" i="12"/>
  <c r="L21" i="7"/>
  <c r="L25" i="7"/>
  <c r="D66" i="12"/>
  <c r="D67" i="12" s="1"/>
  <c r="D69" i="12" s="1"/>
  <c r="D42" i="12"/>
  <c r="AJ25" i="7"/>
  <c r="AJ21" i="7"/>
  <c r="C25" i="7"/>
  <c r="C21" i="7"/>
  <c r="C22" i="7" s="1"/>
  <c r="F66" i="12"/>
  <c r="F67" i="12" s="1"/>
  <c r="F69" i="12" s="1"/>
  <c r="F42" i="12"/>
  <c r="E66" i="12"/>
  <c r="E67" i="12" s="1"/>
  <c r="E69" i="12" s="1"/>
  <c r="E42" i="12"/>
  <c r="D30" i="12"/>
  <c r="D35" i="12" s="1"/>
  <c r="E17" i="5"/>
  <c r="B38" i="5"/>
  <c r="D17" i="5"/>
  <c r="E30" i="12"/>
  <c r="E35" i="12" s="1"/>
  <c r="J25" i="7"/>
  <c r="J21" i="7"/>
  <c r="U21" i="7"/>
  <c r="U25" i="7"/>
  <c r="C30" i="12"/>
  <c r="C35" i="12" s="1"/>
  <c r="C5" i="5" l="1"/>
  <c r="B23" i="5" s="1"/>
  <c r="E5" i="5"/>
  <c r="B5" i="5"/>
  <c r="C26" i="7"/>
  <c r="D51" i="12"/>
  <c r="E51" i="12" s="1"/>
  <c r="F51" i="12" s="1"/>
  <c r="C38" i="12"/>
  <c r="C74" i="12"/>
  <c r="D50" i="12"/>
  <c r="E50" i="12" s="1"/>
  <c r="F50" i="12" s="1"/>
  <c r="C41" i="12"/>
  <c r="E49" i="12"/>
  <c r="F49" i="12" s="1"/>
  <c r="G39" i="12"/>
  <c r="G40" i="12" s="1"/>
  <c r="F47" i="12"/>
  <c r="E41" i="12"/>
  <c r="E39" i="12"/>
  <c r="E40" i="12" s="1"/>
  <c r="E38" i="12"/>
  <c r="D41" i="12"/>
  <c r="C75" i="12" s="1"/>
  <c r="D39" i="12"/>
  <c r="D40" i="12" s="1"/>
  <c r="D38" i="12"/>
  <c r="D22" i="7"/>
  <c r="C29" i="7"/>
  <c r="E48" i="12"/>
  <c r="F48" i="12" s="1"/>
  <c r="C59" i="12"/>
  <c r="C66" i="12"/>
  <c r="C32" i="5" l="1"/>
  <c r="G50" i="12" a="1"/>
  <c r="G50" i="12" s="1"/>
  <c r="B14" i="11"/>
  <c r="D14" i="11"/>
  <c r="B22" i="5"/>
  <c r="G51" i="12" a="1"/>
  <c r="G51" i="12" s="1"/>
  <c r="C31" i="7" a="1"/>
  <c r="C31" i="7" s="1"/>
  <c r="D26" i="7"/>
  <c r="E26" i="7" s="1"/>
  <c r="F26" i="7" s="1"/>
  <c r="G26" i="7" s="1"/>
  <c r="H26" i="7" s="1"/>
  <c r="I26" i="7" s="1"/>
  <c r="J26" i="7" s="1"/>
  <c r="K26" i="7" s="1"/>
  <c r="L26" i="7" s="1"/>
  <c r="M26" i="7" s="1"/>
  <c r="N26" i="7" s="1"/>
  <c r="O26" i="7" s="1"/>
  <c r="P26" i="7" s="1"/>
  <c r="Q26" i="7" s="1"/>
  <c r="R26" i="7" s="1"/>
  <c r="S26" i="7" s="1"/>
  <c r="T26" i="7" s="1"/>
  <c r="U26" i="7" s="1"/>
  <c r="V26" i="7" s="1"/>
  <c r="W26" i="7" s="1"/>
  <c r="X26" i="7" s="1"/>
  <c r="Y26" i="7" s="1"/>
  <c r="Z26" i="7" s="1"/>
  <c r="AA26" i="7" s="1"/>
  <c r="AB26" i="7" s="1"/>
  <c r="AC26" i="7" s="1"/>
  <c r="AD26" i="7" s="1"/>
  <c r="AE26" i="7" s="1"/>
  <c r="AF26" i="7" s="1"/>
  <c r="AG26" i="7" s="1"/>
  <c r="AH26" i="7" s="1"/>
  <c r="AI26" i="7" s="1"/>
  <c r="AJ26" i="7" s="1"/>
  <c r="AK26" i="7" s="1"/>
  <c r="AL26" i="7" s="1"/>
  <c r="C31" i="5"/>
  <c r="G47" i="12" a="1"/>
  <c r="G47" i="12" s="1"/>
  <c r="G48" i="12" a="1"/>
  <c r="G48" i="12" s="1"/>
  <c r="C60" i="12"/>
  <c r="C67" i="12"/>
  <c r="C69" i="12" s="1"/>
  <c r="C28" i="5"/>
  <c r="D29" i="7"/>
  <c r="E22" i="7"/>
  <c r="G49" i="12" a="1"/>
  <c r="G49" i="12" s="1"/>
  <c r="E29" i="7" l="1"/>
  <c r="C12" i="9" s="1"/>
  <c r="C14" i="9" s="1"/>
  <c r="C23" i="9" s="1"/>
  <c r="F22" i="7"/>
  <c r="D5" i="5" a="1"/>
  <c r="D5" i="5" s="1"/>
  <c r="D13" i="11" l="1"/>
  <c r="B13" i="11"/>
  <c r="B36" i="5"/>
  <c r="B24" i="5"/>
  <c r="G22" i="7"/>
  <c r="F29" i="7"/>
  <c r="H22" i="7" l="1"/>
  <c r="G29" i="7"/>
  <c r="H29" i="7" l="1"/>
  <c r="D12" i="9" s="1"/>
  <c r="D14" i="9" s="1"/>
  <c r="D23" i="9" s="1"/>
  <c r="I22" i="7"/>
  <c r="I29" i="7" l="1"/>
  <c r="J22" i="7"/>
  <c r="K22" i="7" l="1"/>
  <c r="J29" i="7"/>
  <c r="L22" i="7" l="1"/>
  <c r="K29" i="7"/>
  <c r="E12" i="9" s="1"/>
  <c r="E14" i="9" s="1"/>
  <c r="E23" i="9" s="1"/>
  <c r="L29" i="7" l="1"/>
  <c r="M22" i="7"/>
  <c r="N22" i="7" l="1"/>
  <c r="M29" i="7"/>
  <c r="O22" i="7" l="1"/>
  <c r="N29" i="7"/>
  <c r="F12" i="9" s="1"/>
  <c r="F14" i="9" s="1"/>
  <c r="F23" i="9" s="1"/>
  <c r="O29" i="7" l="1"/>
  <c r="P22" i="7"/>
  <c r="P29" i="7" l="1"/>
  <c r="Q22" i="7"/>
  <c r="R22" i="7" l="1"/>
  <c r="Q29" i="7"/>
  <c r="G12" i="9" s="1"/>
  <c r="G14" i="9" s="1"/>
  <c r="G23" i="9" s="1"/>
  <c r="S22" i="7" l="1"/>
  <c r="R29" i="7"/>
  <c r="T22" i="7" l="1"/>
  <c r="S29" i="7"/>
  <c r="T29" i="7" l="1"/>
  <c r="H12" i="9" s="1"/>
  <c r="H14" i="9" s="1"/>
  <c r="H23" i="9" s="1"/>
  <c r="U22" i="7"/>
  <c r="U29" i="7" l="1"/>
  <c r="V22" i="7"/>
  <c r="W22" i="7" l="1"/>
  <c r="V29" i="7"/>
  <c r="X22" i="7" l="1"/>
  <c r="W29" i="7"/>
  <c r="I12" i="9" s="1"/>
  <c r="I14" i="9" s="1"/>
  <c r="I23" i="9" s="1"/>
  <c r="X29" i="7" l="1"/>
  <c r="Y22" i="7"/>
  <c r="Y29" i="7" l="1"/>
  <c r="Z22" i="7"/>
  <c r="AA22" i="7" l="1"/>
  <c r="Z29" i="7"/>
  <c r="J12" i="9" s="1"/>
  <c r="J14" i="9" s="1"/>
  <c r="J23" i="9" s="1"/>
  <c r="AB22" i="7" l="1"/>
  <c r="AA29" i="7"/>
  <c r="AB29" i="7" l="1"/>
  <c r="AC22" i="7"/>
  <c r="AD22" i="7" l="1"/>
  <c r="AC29" i="7"/>
  <c r="K12" i="9" s="1"/>
  <c r="K14" i="9" s="1"/>
  <c r="K23" i="9" s="1"/>
  <c r="AE22" i="7" l="1"/>
  <c r="AD29" i="7"/>
  <c r="AE29" i="7" l="1"/>
  <c r="AF22" i="7"/>
  <c r="AF29" i="7" l="1"/>
  <c r="L12" i="9" s="1"/>
  <c r="L14" i="9" s="1"/>
  <c r="L23" i="9" s="1"/>
  <c r="AG22" i="7"/>
  <c r="AH22" i="7" l="1"/>
  <c r="AG29" i="7"/>
  <c r="AI22" i="7" l="1"/>
  <c r="AH29" i="7"/>
  <c r="AJ22" i="7" l="1"/>
  <c r="AI29" i="7"/>
  <c r="M12" i="9" s="1"/>
  <c r="M14" i="9" s="1"/>
  <c r="M23" i="9" s="1"/>
  <c r="AJ29" i="7" l="1"/>
  <c r="AK22" i="7"/>
  <c r="AK29" i="7" l="1"/>
  <c r="AL22" i="7"/>
  <c r="AL29" i="7" l="1"/>
  <c r="N12" i="9" s="1"/>
  <c r="N14" i="9" s="1"/>
  <c r="N23" i="9" s="1"/>
  <c r="D5" i="11"/>
  <c r="C30" i="5"/>
  <c r="C29" i="5"/>
  <c r="B5" i="11"/>
  <c r="B39" i="5" l="1"/>
  <c r="B35" i="5"/>
</calcChain>
</file>

<file path=xl/sharedStrings.xml><?xml version="1.0" encoding="utf-8"?>
<sst xmlns="http://schemas.openxmlformats.org/spreadsheetml/2006/main" count="723" uniqueCount="565">
  <si>
    <t>ФИНАНСОВАЯ МОДЕЛЬ — КОФЕЙНЯ: КОФЕ С СОБОЙ</t>
  </si>
  <si>
    <t>Город: Актобе  |  Горизонт: 36 месяцев (3 года)  |  Дата: 04.04.2026</t>
  </si>
  <si>
    <t>СОДЕРЖАНИЕ</t>
  </si>
  <si>
    <t>📖 КАК ЧИТАТЬ МОДЕЛЬ</t>
  </si>
  <si>
    <t>Объяснение модели для начинающих</t>
  </si>
  <si>
    <t>⚙️ ПАРАМЕТРЫ</t>
  </si>
  <si>
    <t>Все ваши входные данные (жёлтые ячейки)</t>
  </si>
  <si>
    <t>📊 ДОПУЩЕНИЯ</t>
  </si>
  <si>
    <t>Сезонность, инфляция, налоговый каскад</t>
  </si>
  <si>
    <t>🎯 ДАШБОРД</t>
  </si>
  <si>
    <t>Ключевые показатели + автодиагностика</t>
  </si>
  <si>
    <t>📈 P&amp;L</t>
  </si>
  <si>
    <t>Помесячный отчёт о прибылях и убытках</t>
  </si>
  <si>
    <t>💰 CASH FLOW</t>
  </si>
  <si>
    <t>Движение денежных средств</t>
  </si>
  <si>
    <t>📋 КРЕДИТ</t>
  </si>
  <si>
    <t>График погашения кредита</t>
  </si>
  <si>
    <t>📑 БАЛАНС</t>
  </si>
  <si>
    <t>Квартальный баланс</t>
  </si>
  <si>
    <t>🔄 СЦЕНАРИИ</t>
  </si>
  <si>
    <t>5 сценариев чувствительности</t>
  </si>
  <si>
    <t>✅ ПРОВЕРКА</t>
  </si>
  <si>
    <t>10 автоматических проверок</t>
  </si>
  <si>
    <t>🔥 СТРЕСС-ТЕСТ</t>
  </si>
  <si>
    <t>ИНСТРУКЦИЯ</t>
  </si>
  <si>
    <t>Откройте ⚙️ ПАРАМЕТРЫ — введите данные в жёлтые ячейки</t>
  </si>
  <si>
    <t>Настройте 📊 ДОПУЩЕНИЯ — сезонность под ваш регион</t>
  </si>
  <si>
    <t>Результаты на 🎯 ДАШБОРДЕ — автоматически</t>
  </si>
  <si>
    <t>📈 P&amp;L и 💰 CASH FLOW — помесячная детализация</t>
  </si>
  <si>
    <t>🔄 ЧУВСТВИТЕЛЬНОСТЬ — стресс-тест параметров</t>
  </si>
  <si>
    <t>✅ ПРОВЕРКА — все формулы должны показать OK</t>
  </si>
  <si>
    <t>🔥 СТРЕСС-ТЕСТ — 4 сценария стресс-тестирования</t>
  </si>
  <si>
    <t>Сформировано: ZEREK — аналитика для предпринимателей КЗ | 04.04.2026 | @zerekai_bot</t>
  </si>
  <si>
    <t>КАК ПОЛЬЗОВАТЬСЯ ЭТОЙ МОДЕЛЬЮ</t>
  </si>
  <si>
    <t>📌 Модель полностью автоматическая. Вам нужно только заполнить жёлтые ячейки — всё остальное пересчитается.</t>
  </si>
  <si>
    <t>1️⃣</t>
  </si>
  <si>
    <t>ЗАПОЛНИТЕ ⚙️ ПАРАМЕТРЫ</t>
  </si>
  <si>
    <t>Все жёлтые ячейки — это ваши данные. Средний чек, аренда, зарплаты, стартовые вложения. Меняйте их под свой бизнес.</t>
  </si>
  <si>
    <t>2️⃣</t>
  </si>
  <si>
    <t>НАСТРОЙТЕ 📊 ДОПУЩЕНИЯ</t>
  </si>
  <si>
    <t>Сезонность и ramp-up (выход на мощность). Если не уверены — оставьте как есть, значения по умолчанию реалистичны.</t>
  </si>
  <si>
    <t>3️⃣</t>
  </si>
  <si>
    <t>СМОТРИТЕ 🎯 ДАШБОРД</t>
  </si>
  <si>
    <t>Главные цифры: окупаемость, прибыль, риски. Всё пересчитывается автоматически при изменении параметров.</t>
  </si>
  <si>
    <t>4️⃣</t>
  </si>
  <si>
    <t>ЧТО ОЗНАЧАЮТ ПОКАЗАТЕЛИ</t>
  </si>
  <si>
    <t>• NPV &gt; 0 → проект создаёт стоимость (хорошо)</t>
  </si>
  <si>
    <t>• IRR &gt; 20% → доходность выше банковского депозита (отлично)</t>
  </si>
  <si>
    <t>• Окупаемость &lt; 18 мес → быстро вернёте вложения</t>
  </si>
  <si>
    <t>• Точка безубыточности → минимум клиентов, чтобы не работать в убыток</t>
  </si>
  <si>
    <t>• Запас прочности → на сколько % может упасть выручка, прежде чем убытки</t>
  </si>
  <si>
    <t>5️⃣</t>
  </si>
  <si>
    <t>СТРЕСС-ТЕСТ 🔥</t>
  </si>
  <si>
    <t>Показывает, что будет если дела пойдут хуже ожиданий.</t>
  </si>
  <si>
    <t>Если даже в «жёстком» сценарии бизнес прибыльный — вы в безопасности.</t>
  </si>
  <si>
    <t>6️⃣</t>
  </si>
  <si>
    <t>ДИСКЛЕЙМЕР</t>
  </si>
  <si>
    <t>Модель — аналитический инструмент, не гарантия результата.</t>
  </si>
  <si>
    <t>Реальные цифры могут отличаться от прогноза. ZEREK не несёт ответственности за бизнес-решения.</t>
  </si>
  <si>
    <t>ZEREK Financial Model | @zerekai_bot | zerek.cc</t>
  </si>
  <si>
    <t>ПАРАМЕТРЫ МОДЕЛИ — КОФЕЙНЯ: КОФЕ С СОБОЙ</t>
  </si>
  <si>
    <t>📌 Правило: меняйте только жёлтые ячейки. Синий текст = введённое число. Чёрный текст = формула (не трогать). Все листы пересчитываются автоматически.</t>
  </si>
  <si>
    <t>0. ОБЩИЕ ПАРАМЕТРЫ</t>
  </si>
  <si>
    <t>Параметр</t>
  </si>
  <si>
    <t>Значение</t>
  </si>
  <si>
    <t>Ед.</t>
  </si>
  <si>
    <t>Пояснение (дисклеймер)</t>
  </si>
  <si>
    <t>Форма собственности</t>
  </si>
  <si>
    <t>ИП</t>
  </si>
  <si>
    <t>💡 ИП: свободный вывод. ТОО: дивиденды (5% ИПН)</t>
  </si>
  <si>
    <t>Налоговый режим</t>
  </si>
  <si>
    <t>УСН</t>
  </si>
  <si>
    <t>💡 УСН: 2-4% от оборота. Порог: 600 000 МРП</t>
  </si>
  <si>
    <t>Плательщик НДС</t>
  </si>
  <si>
    <t>Нет</t>
  </si>
  <si>
    <t>💡 Автоматически «Да» при выручке &gt; 10 000 МРП</t>
  </si>
  <si>
    <t>Ставка налога (маслихат)</t>
  </si>
  <si>
    <t>%</t>
  </si>
  <si>
    <t>💡 Ставка маслихата. Актобе: 3%</t>
  </si>
  <si>
    <t>Горизонт модели</t>
  </si>
  <si>
    <t>мес</t>
  </si>
  <si>
    <t>💡 36 мес = 3 года. Стандарт для МСБ</t>
  </si>
  <si>
    <t>1. ВЫРУЧКА</t>
  </si>
  <si>
    <t>Средний чек (корзина)</t>
  </si>
  <si>
    <t>₸</t>
  </si>
  <si>
    <t>💡 Вся покупка 1 клиента целиком</t>
  </si>
  <si>
    <t>Клиентов в день (на полной мощности)</t>
  </si>
  <si>
    <t>чел/день</t>
  </si>
  <si>
    <t>💡 Трафик после ramp-up</t>
  </si>
  <si>
    <t>Рабочих дней в месяце</t>
  </si>
  <si>
    <t>дней</t>
  </si>
  <si>
    <t>💡 Общепит = 30, офис = 22</t>
  </si>
  <si>
    <t>Рост трафика в год</t>
  </si>
  <si>
    <t>💡 5-10% для МСБ</t>
  </si>
  <si>
    <t>Рост среднего чека в год</t>
  </si>
  <si>
    <t>💡 Инфляция + допродажи ≈ 8%</t>
  </si>
  <si>
    <t>2. ПРЯМЫЕ РАСХОДЫ</t>
  </si>
  <si>
    <t>Себестоимость (% от выручки)</t>
  </si>
  <si>
    <t>💡 Общепит: 30-40%, услуги: 5-15%</t>
  </si>
  <si>
    <t>Потери и списания (% от выручки)</t>
  </si>
  <si>
    <t>💡 Брак, просрочка. Общепит: 3-5%</t>
  </si>
  <si>
    <t>3. ПОСТОЯННЫЕ РАСХОДЫ</t>
  </si>
  <si>
    <t>Аренда помещения</t>
  </si>
  <si>
    <t>₸/мес</t>
  </si>
  <si>
    <t>💡 Актобе: ~3000-5000 ₸/м²</t>
  </si>
  <si>
    <t>Площадь помещения</t>
  </si>
  <si>
    <t>м²</t>
  </si>
  <si>
    <t>💡 Типовая площадь для формата</t>
  </si>
  <si>
    <t>ФОТ Gross (оклад сотрудников)</t>
  </si>
  <si>
    <t>💡 Gross = до удержаний</t>
  </si>
  <si>
    <t>Количество сотрудников</t>
  </si>
  <si>
    <t>чел</t>
  </si>
  <si>
    <t>💡 Штат на полную мощность</t>
  </si>
  <si>
    <t>Коммунальные</t>
  </si>
  <si>
    <t>💡 Свет, вода, отопление</t>
  </si>
  <si>
    <t>Маркетинг</t>
  </si>
  <si>
    <t>💡 Instagram, 2ГИС, акции</t>
  </si>
  <si>
    <t>Расходники</t>
  </si>
  <si>
    <t>💡 Мелочи вне себестоимости</t>
  </si>
  <si>
    <t>Софт / касса / CRM</t>
  </si>
  <si>
    <t>💡 Kaspi касса, iiko, Poster</t>
  </si>
  <si>
    <t>Прочие расходы</t>
  </si>
  <si>
    <t>💡 Транспорт, связь, непредвиденные</t>
  </si>
  <si>
    <t>Рост аренды в год</t>
  </si>
  <si>
    <t>💡 ← Ссылка на ДОПУЩЕНИЯ. Меняйте там.</t>
  </si>
  <si>
    <t>Рост ФОТ в год</t>
  </si>
  <si>
    <t>Инфляция прочих расходов</t>
  </si>
  <si>
    <t>4. СТАРТОВЫЕ ИНВЕСТИЦИИ</t>
  </si>
  <si>
    <t>CAPEX (оборудование + ремонт)</t>
  </si>
  <si>
    <t>💡 Оборудование + ремонт + мебель</t>
  </si>
  <si>
    <t>Депозит за аренду</t>
  </si>
  <si>
    <t>💡 Залог. Обычно 2-3 мес</t>
  </si>
  <si>
    <t>Оборотный капитал (резерв)</t>
  </si>
  <si>
    <t>💡 Резерв на 2-3 мес расходов</t>
  </si>
  <si>
    <t>Срок амортизации</t>
  </si>
  <si>
    <t>лет</t>
  </si>
  <si>
    <t>💡 Линейная. Оборудование: 5-7 лет</t>
  </si>
  <si>
    <t>ИТОГО ИНВЕСТИЦИИ</t>
  </si>
  <si>
    <t>💡 Сумма: CAPEX + депозит аренды + оборотный капитал. Это ваши полные начальные вложения.</t>
  </si>
  <si>
    <t>Амортизация в месяц</t>
  </si>
  <si>
    <t>💡 Ежемесячное списание стоимости оборудования. Не денежный расход, но влияет на прибыль.</t>
  </si>
  <si>
    <t>Налоги работодателя от ФОТ</t>
  </si>
  <si>
    <t>💡 ОСМС(3%) + ОПВР(3.5%) + СО(3.5%) + СН(зависит от режима). Ложатся сверху на ФОТ.</t>
  </si>
  <si>
    <t>5. КРЕДИТ (опционально)</t>
  </si>
  <si>
    <t>Сумма кредита</t>
  </si>
  <si>
    <t>💡 0 = без кредита</t>
  </si>
  <si>
    <t>Годовая ставка</t>
  </si>
  <si>
    <t>💡 МСБ КЗ: 18-24%. Льготные: 6-14%</t>
  </si>
  <si>
    <t>Срок кредита</t>
  </si>
  <si>
    <t>💡 Стандарт: 24-60 мес</t>
  </si>
  <si>
    <t>Ежемесячный платёж (аннуитет)</t>
  </si>
  <si>
    <t>💡 Аннуитетный платёж: фиксированная сумма каждый месяц (тело + проценты).</t>
  </si>
  <si>
    <t>6. ДИСКОНТИРОВАНИЕ</t>
  </si>
  <si>
    <t>Ставка дисконтирования (WACC)</t>
  </si>
  <si>
    <t>💡 МСБ КЗ: 18-25%. Не знаете → 20%</t>
  </si>
  <si>
    <t>ZEREK Financial Model | 04.04.2026 | @zerekai_bot</t>
  </si>
  <si>
    <t>ДОПУЩЕНИЯ МОДЕЛИ</t>
  </si>
  <si>
    <t>📌 Сезонные коэффициенты: 1.00 = норма, 1.10 = на 10% выше, 0.85 = на 15% ниже. Казахстан — резко континентальный климат: жаркое лето, холодная зима.</t>
  </si>
  <si>
    <t>СЕЗОННОСТЬ ТРАФИКА</t>
  </si>
  <si>
    <t>Месяц</t>
  </si>
  <si>
    <t>Янв</t>
  </si>
  <si>
    <t>Фев</t>
  </si>
  <si>
    <t>Мар</t>
  </si>
  <si>
    <t>Апр</t>
  </si>
  <si>
    <t>Май</t>
  </si>
  <si>
    <t>Июн</t>
  </si>
  <si>
    <t>Июл</t>
  </si>
  <si>
    <t>Авг</t>
  </si>
  <si>
    <t>Сен</t>
  </si>
  <si>
    <t>Окт</t>
  </si>
  <si>
    <t>Ноя</t>
  </si>
  <si>
    <t>Дек</t>
  </si>
  <si>
    <t>Коэффициент</t>
  </si>
  <si>
    <t>💡 Коэффициенты умножаются на базовый трафик. 1.15 в декабре = праздничный спрос +15%. 0.85 зимой = холод, меньше пешеходов.</t>
  </si>
  <si>
    <t>ИНФЛЯЦИЯ ПО СТАТЬЯМ</t>
  </si>
  <si>
    <t>Статья</t>
  </si>
  <si>
    <t>Рост/год</t>
  </si>
  <si>
    <t>Пояснение</t>
  </si>
  <si>
    <t>Аренда</t>
  </si>
  <si>
    <t>💡 Арендодатели КЗ индексируют ежегодно. Зависит от договора</t>
  </si>
  <si>
    <t>ФОТ</t>
  </si>
  <si>
    <t>💡 Рост зарплат. В КЗ ~8% в год</t>
  </si>
  <si>
    <t>Продукты/материалы</t>
  </si>
  <si>
    <t>💡 Продовольственная инфляция в КЗ выше общей: 10-15%</t>
  </si>
  <si>
    <t>💡 Тарифы регулируются, растут медленнее</t>
  </si>
  <si>
    <t>💡 Цифровая реклама дорожает медленнее</t>
  </si>
  <si>
    <t>RAMP-UP (ВЫХОД НА МОЩНОСТЬ)</t>
  </si>
  <si>
    <t>Месяц модели</t>
  </si>
  <si>
    <t>М1</t>
  </si>
  <si>
    <t>М2</t>
  </si>
  <si>
    <t>М3</t>
  </si>
  <si>
    <t>М4</t>
  </si>
  <si>
    <t>М5</t>
  </si>
  <si>
    <t>М6</t>
  </si>
  <si>
    <t>М7</t>
  </si>
  <si>
    <t>М8</t>
  </si>
  <si>
    <t>М9</t>
  </si>
  <si>
    <t>М10</t>
  </si>
  <si>
    <t>М11</t>
  </si>
  <si>
    <t>М12</t>
  </si>
  <si>
    <t>Год 1 (% от мощности)</t>
  </si>
  <si>
    <t>Год 2 (% от мощности)</t>
  </si>
  <si>
    <t>Год 3 (% от мощности)</t>
  </si>
  <si>
    <t>💡 Ramp-up = % от полной мощности. М1=40% → 28 клиентов из 70 возможных. 100% = полная мощность. Год 2-3 можно оставить 100% или задать плавный рост.</t>
  </si>
  <si>
    <t>НАЛОГОВАЯ СИСТЕМА РК (2026)</t>
  </si>
  <si>
    <t>СПРАВОЧНЫЕ ДАННЫЕ</t>
  </si>
  <si>
    <t>Примечание</t>
  </si>
  <si>
    <t>МРП (2026)</t>
  </si>
  <si>
    <t>Месячный расчётный показатель (Закон о бюджете)</t>
  </si>
  <si>
    <t>Порог НДС</t>
  </si>
  <si>
    <t>= 10 000 × МРП. ОУР: превышение → обязат. НДС</t>
  </si>
  <si>
    <t>Лимит выручки УСН</t>
  </si>
  <si>
    <t>= 600 000 × МРП. Макс. оборот для УСН</t>
  </si>
  <si>
    <t>Порог прогр. шкалы ИПН</t>
  </si>
  <si>
    <t>= 230 000 × МРП. До порога 10%, свыше 15%</t>
  </si>
  <si>
    <t>ЗАРПЛАТНЫЕ НАЛОГИ И ОТЧИСЛЕНИЯ</t>
  </si>
  <si>
    <t>Удержания с работника (внутри Gross)</t>
  </si>
  <si>
    <t xml:space="preserve">  ИПН</t>
  </si>
  <si>
    <t>10% от оклада (ст. 320 НК РК)</t>
  </si>
  <si>
    <t xml:space="preserve">  ОПВ</t>
  </si>
  <si>
    <t>10% от оклада в ЕНПФ</t>
  </si>
  <si>
    <t xml:space="preserve">  ВОСМС</t>
  </si>
  <si>
    <t>2% от оклада</t>
  </si>
  <si>
    <t>Налоги работодателя (сверх оклада)</t>
  </si>
  <si>
    <t xml:space="preserve">  ОСМС</t>
  </si>
  <si>
    <t>3% от оклада</t>
  </si>
  <si>
    <t xml:space="preserve">  ОПВР</t>
  </si>
  <si>
    <t>3.5% от оклада (с 2024)</t>
  </si>
  <si>
    <t xml:space="preserve">  СО</t>
  </si>
  <si>
    <t>3.5% от оклада</t>
  </si>
  <si>
    <t xml:space="preserve">  СН</t>
  </si>
  <si>
    <t>9.5% − СО при ОУР. На УСН = 0</t>
  </si>
  <si>
    <t>КОРПОРАТИВНЫЕ НАЛОГИ</t>
  </si>
  <si>
    <t>Ставка УСН (НК макс.)</t>
  </si>
  <si>
    <t>4% от оборота (ст. 687)</t>
  </si>
  <si>
    <t>Ставка НДС</t>
  </si>
  <si>
    <t>16% с 2025 (ст. 422 НК)</t>
  </si>
  <si>
    <t>КПН (ТОО на ОУР)</t>
  </si>
  <si>
    <t>20% от дохода (ст. 313 НК)</t>
  </si>
  <si>
    <t>ИПН базовая (ИП ОУР)</t>
  </si>
  <si>
    <t>10% от дохода до порога</t>
  </si>
  <si>
    <t>ИПН повышенная (ИП ОУР)</t>
  </si>
  <si>
    <t>15% от суммы превышения</t>
  </si>
  <si>
    <t>Налог на дивиденды (ТОО)</t>
  </si>
  <si>
    <t>ИПН с дивидендов 5%</t>
  </si>
  <si>
    <t>КАСКАДНАЯ ЛОГИКА ВЫБОРА РЕЖИМА</t>
  </si>
  <si>
    <t>Плательщик НДС (← из Параметров)</t>
  </si>
  <si>
    <t>Ссылка на C7 в Параметрах</t>
  </si>
  <si>
    <t>Годовая выручка (макс. 12 мес)</t>
  </si>
  <si>
    <t>Макс. 12-мес. выручка из P&amp;L</t>
  </si>
  <si>
    <t>Слетает с УСН?</t>
  </si>
  <si>
    <t>Если режим УСН и выручка &gt; лимита → ОУР</t>
  </si>
  <si>
    <t>ИТОГО: Налоговый режим</t>
  </si>
  <si>
    <t>Если УСН и в пределах лимита → УСН, иначе ОУР</t>
  </si>
  <si>
    <t>Превышает порог НДС?</t>
  </si>
  <si>
    <t>Только на ОУР: если выручка &gt; 10 000 МРП</t>
  </si>
  <si>
    <t>ИТОГО: Статус НДС</t>
  </si>
  <si>
    <t>«Да» если добровольно или по порогу</t>
  </si>
  <si>
    <t>Итоговая ставка УСН</t>
  </si>
  <si>
    <t>Маслихат если задан, иначе 4%</t>
  </si>
  <si>
    <t>Эффект. ставка корп. налога</t>
  </si>
  <si>
    <t>УСН: ставка маслихата. ИП ОУР: ИПН. ТОО ОУР: КПН</t>
  </si>
  <si>
    <t>Итого % налогов работодателя</t>
  </si>
  <si>
    <t>ОУР: ОСМС+ОПВР+СО+(СН−СО). УСН: ОСМС+ОПВР+СО</t>
  </si>
  <si>
    <t>Налоги работодателя, ₸/мес</t>
  </si>
  <si>
    <t>= ФОТ Gross × итого %</t>
  </si>
  <si>
    <t>ИТОГО расход на персонал</t>
  </si>
  <si>
    <t>= ФОТ Gross + налоги работодателя</t>
  </si>
  <si>
    <t>💡 Ставки НК РК 2026. Не изменяйте без обновления законодательства.</t>
  </si>
  <si>
    <t>ИСТОЧНИКИ И ОГРАНИЧЕНИЯ МОДЕЛИ</t>
  </si>
  <si>
    <t>Какие цифры вводит пользователь:</t>
  </si>
  <si>
    <t xml:space="preserve">  → Средний чек, трафик, аренда, ФОТ, CAPEX, кредит</t>
  </si>
  <si>
    <t>Какие параметры типовые (ZEREK):</t>
  </si>
  <si>
    <t xml:space="preserve">  → Сезонность, инфляция по статьям, налоговые ставки, ramp-up</t>
  </si>
  <si>
    <t>Ориентиры:</t>
  </si>
  <si>
    <t xml:space="preserve">  → Данные БНС РК, маслихатные решения, бенчмарки базы ZEREK</t>
  </si>
  <si>
    <t>Что НЕ является гарантией:</t>
  </si>
  <si>
    <t xml:space="preserve">  → Все цифры модели — прогноз, основанный на допущениях.</t>
  </si>
  <si>
    <t xml:space="preserve">  → Реальные результаты зависят от исполнения, рынка, конкуренции.</t>
  </si>
  <si>
    <t xml:space="preserve">  → ZEREK не несёт ответственности за бизнес-решения.</t>
  </si>
  <si>
    <t>ДАШБОРД — КОФЕЙНЯ: КОФЕ С СОБОЙ (Актобе)</t>
  </si>
  <si>
    <t>Дата: 04.04.2026  |  Горизонт: 36 мес  |  Все показатели обновляются автоматически</t>
  </si>
  <si>
    <t>КЛЮЧЕВЫЕ ИНВЕСТИЦИОННЫЕ ПОКАЗАТЕЛИ</t>
  </si>
  <si>
    <t>NPV</t>
  </si>
  <si>
    <t>IRR</t>
  </si>
  <si>
    <t>Окупаемость</t>
  </si>
  <si>
    <t>ROI</t>
  </si>
  <si>
    <t>Чистая приведённая стоимость проекта. NPV &gt; 0 → проект выгоден</t>
  </si>
  <si>
    <t>Месячная доходность проекта. Сравните с WACC/12 (1.7%/мес)</t>
  </si>
  <si>
    <t>Через сколько месяцев вернёте вложения (все инвестиции)</t>
  </si>
  <si>
    <t>Прибыль за 3 года / все инвестиции. &gt;100% = вложения вернулись</t>
  </si>
  <si>
    <t>СВОДНЫЙ P&amp;L ЗА 3 ГОДА</t>
  </si>
  <si>
    <t>Показатель</t>
  </si>
  <si>
    <t>Итого 36 мес</t>
  </si>
  <si>
    <t>₸/мес (средн.)</t>
  </si>
  <si>
    <t>% от выручки</t>
  </si>
  <si>
    <t>Выручка</t>
  </si>
  <si>
    <t xml:space="preserve">  ▸ Себестоимость</t>
  </si>
  <si>
    <t xml:space="preserve">  ▸ Потери</t>
  </si>
  <si>
    <t>Валовая прибыль</t>
  </si>
  <si>
    <t xml:space="preserve">  ▸ ФОТ</t>
  </si>
  <si>
    <t xml:space="preserve">  ▸ Аренда</t>
  </si>
  <si>
    <t xml:space="preserve">  ▸ Прочие пост.</t>
  </si>
  <si>
    <t>EBITDA</t>
  </si>
  <si>
    <t>Налог</t>
  </si>
  <si>
    <t>ЧИСТАЯ ПРИБЫЛЬ</t>
  </si>
  <si>
    <t>АВТОМАТИЧЕСКИЙ ВЫВОД</t>
  </si>
  <si>
    <t>ДОПОЛНИТЕЛЬНЫЕ МЕТРИКИ</t>
  </si>
  <si>
    <t>Стартовые вложения (ИТОГО)</t>
  </si>
  <si>
    <t>Точка безубыточности</t>
  </si>
  <si>
    <t>клиентов/день</t>
  </si>
  <si>
    <t>Запас ликвидности (мин. ДС)</t>
  </si>
  <si>
    <t>Кассовый разрыв?</t>
  </si>
  <si>
    <t>Главный риск (макс. негативный фактор)</t>
  </si>
  <si>
    <t>Главный драйвер роста</t>
  </si>
  <si>
    <t>ДИАГНОЗ МОДЕЛИ</t>
  </si>
  <si>
    <t>ZEREK | 04.04.2026</t>
  </si>
  <si>
    <t>ОТЧЁТ О ПРИБЫЛЯХ И УБЫТКАХ — КОФЕЙНЯ: КОФЕ С СОБОЙ (Актобе)</t>
  </si>
  <si>
    <t>📌 Помесячно, 36 мес. Формулы → ⚙️ ПАРАМЕТРЫ и 📊 ДОПУЩЕНИЯ.</t>
  </si>
  <si>
    <t>Статья / Период</t>
  </si>
  <si>
    <t>М13</t>
  </si>
  <si>
    <t>М14</t>
  </si>
  <si>
    <t>М15</t>
  </si>
  <si>
    <t>М16</t>
  </si>
  <si>
    <t>М17</t>
  </si>
  <si>
    <t>М18</t>
  </si>
  <si>
    <t>М19</t>
  </si>
  <si>
    <t>М20</t>
  </si>
  <si>
    <t>М21</t>
  </si>
  <si>
    <t>М22</t>
  </si>
  <si>
    <t>М23</t>
  </si>
  <si>
    <t>М24</t>
  </si>
  <si>
    <t>М25</t>
  </si>
  <si>
    <t>М26</t>
  </si>
  <si>
    <t>М27</t>
  </si>
  <si>
    <t>М28</t>
  </si>
  <si>
    <t>М29</t>
  </si>
  <si>
    <t>М30</t>
  </si>
  <si>
    <t>М31</t>
  </si>
  <si>
    <t>М32</t>
  </si>
  <si>
    <t>М33</t>
  </si>
  <si>
    <t>М34</t>
  </si>
  <si>
    <t>М35</t>
  </si>
  <si>
    <t>М36</t>
  </si>
  <si>
    <t>Кал. месяц</t>
  </si>
  <si>
    <t>Сез. коэфф.</t>
  </si>
  <si>
    <t>Ramp-up</t>
  </si>
  <si>
    <t>ВЫРУЧКА</t>
  </si>
  <si>
    <t>Множитель роста трафика</t>
  </si>
  <si>
    <t>Множитель роста чека</t>
  </si>
  <si>
    <t>Клиентов/день</t>
  </si>
  <si>
    <t>Средний чек</t>
  </si>
  <si>
    <t>ПРЯМЫЕ РАСХОДЫ</t>
  </si>
  <si>
    <t>Себестоимость</t>
  </si>
  <si>
    <t>Потери/списания</t>
  </si>
  <si>
    <t>ВАЛОВАЯ ПРИБЫЛЬ</t>
  </si>
  <si>
    <t>ПОСТОЯННЫЕ РАСХОДЫ</t>
  </si>
  <si>
    <t>ФОТ (Gross оклад)</t>
  </si>
  <si>
    <t xml:space="preserve">  ОСМС (3%)</t>
  </si>
  <si>
    <t xml:space="preserve">  ОПВР (3.5%)</t>
  </si>
  <si>
    <t xml:space="preserve">  СО (3.5%)</t>
  </si>
  <si>
    <t xml:space="preserve">  СН (9.5%−СО)</t>
  </si>
  <si>
    <t>Итого налоги работодателя</t>
  </si>
  <si>
    <t>Софт/касса</t>
  </si>
  <si>
    <t>Прочие</t>
  </si>
  <si>
    <t>Итого постоянные</t>
  </si>
  <si>
    <t>Амортизация</t>
  </si>
  <si>
    <t>EBIT</t>
  </si>
  <si>
    <t>Проценты по кредиту</t>
  </si>
  <si>
    <t>Налог (КПН/ИПН/УСН)</t>
  </si>
  <si>
    <t>НДС к уплате</t>
  </si>
  <si>
    <t>Рентабельность</t>
  </si>
  <si>
    <t>💡 IPMT = проценты (P&amp;L). PPMT = тело (Cash Flow).</t>
  </si>
  <si>
    <t>ДВИЖЕНИЕ ДЕНЕЖНЫХ СРЕДСТВ — КОФЕЙНЯ: КОФЕ С СОБОЙ</t>
  </si>
  <si>
    <t>📌 М0 = инвестиции. М1-36 = операционная деятельность.</t>
  </si>
  <si>
    <t>М0</t>
  </si>
  <si>
    <t>ИНВЕСТИЦИОННАЯ ДЕЯТЕЛЬНОСТЬ</t>
  </si>
  <si>
    <t>ФИНАНСОВАЯ ДЕЯТЕЛЬНОСТЬ</t>
  </si>
  <si>
    <t>Получение кредита</t>
  </si>
  <si>
    <t>💡 Кредит поступает в М1. Если кредит = 0 — строка нулевая.</t>
  </si>
  <si>
    <t>Погашение тела кредита (PPMT)</t>
  </si>
  <si>
    <t>💡 PPMT = тело долга. IPMT → P&amp;L.</t>
  </si>
  <si>
    <t>ОПЕРАЦИОННАЯ ДЕЯТЕЛЬНОСТЬ</t>
  </si>
  <si>
    <t>Чистая прибыль (из P&amp;L)</t>
  </si>
  <si>
    <t>+ Амортизация (неденежный расход)</t>
  </si>
  <si>
    <t>💡 Амортизация — не платёж, возвращаем в CF.</t>
  </si>
  <si>
    <t>Операционный денежный поток (OCF)</t>
  </si>
  <si>
    <t>ИТОГО</t>
  </si>
  <si>
    <t>💡 Нарастающий ≥ 0 = окупаемость.</t>
  </si>
  <si>
    <t>ПРОЕКТНЫЙ CF (для IRR/NPV без кредитного рычага)</t>
  </si>
  <si>
    <t>КОНТРОЛЬНЫЕ ПОКАЗАТЕЛИ</t>
  </si>
  <si>
    <t>💡 Если значение &lt; 0 — у вас кассовый разрыв. Нужны дополнительные средства или кредитная линия.</t>
  </si>
  <si>
    <t>Месяц окупаемости</t>
  </si>
  <si>
    <t>💡 Номер месяца, когда нарастающий CF впервые стал ≥ 0.</t>
  </si>
  <si>
    <t>ZEREK Financial Model | @zerekai_bot</t>
  </si>
  <si>
    <t>ГРАФИК ПОГАШЕНИЯ КРЕДИТА — КОФЕЙНЯ: КОФЕ С СОБОЙ</t>
  </si>
  <si>
    <t>📌 Аннуитетный платёж. Если сумма кредита = 0, таблица показывает нули.</t>
  </si>
  <si>
    <t>Платёж (аннуитет)</t>
  </si>
  <si>
    <t>Проценты (IPMT)</t>
  </si>
  <si>
    <t>Тело долга (PPMT)</t>
  </si>
  <si>
    <t>Остаток долга</t>
  </si>
  <si>
    <t>УПРАВЛЕНЧЕСКИЙ БАЛАНС — КОФЕЙНЯ: КОФЕ С СОБОЙ</t>
  </si>
  <si>
    <t>📌 Управленческий баланс — контроль ключевых показателей.</t>
  </si>
  <si>
    <t>Показатель / Квартал</t>
  </si>
  <si>
    <t>Q1</t>
  </si>
  <si>
    <t>Q2</t>
  </si>
  <si>
    <t>Q3</t>
  </si>
  <si>
    <t>Q4</t>
  </si>
  <si>
    <t>Q5</t>
  </si>
  <si>
    <t>Q6</t>
  </si>
  <si>
    <t>Q7</t>
  </si>
  <si>
    <t>Q8</t>
  </si>
  <si>
    <t>Q9</t>
  </si>
  <si>
    <t>Q10</t>
  </si>
  <si>
    <t>Q11</t>
  </si>
  <si>
    <t>Q12</t>
  </si>
  <si>
    <t>АКТИВЫ</t>
  </si>
  <si>
    <t>Основные средства (ост. стоимость)</t>
  </si>
  <si>
    <t>💡 CAPEX − амортизация</t>
  </si>
  <si>
    <t>💡 Залог, возвращается при выходе</t>
  </si>
  <si>
    <t>Оборотный капитал (начальный)</t>
  </si>
  <si>
    <t>💡 Начальный резерв</t>
  </si>
  <si>
    <t>Оборотные средства (остаток ДС)</t>
  </si>
  <si>
    <t>💡 Остаток на счёте. &lt; 0 = разрыв</t>
  </si>
  <si>
    <t>ИТОГО АКТИВЫ</t>
  </si>
  <si>
    <t>ПАССИВЫ И КАПИТАЛ</t>
  </si>
  <si>
    <t>Задолженность по кредиту</t>
  </si>
  <si>
    <t>💡 Остаток долга</t>
  </si>
  <si>
    <t>Собственный капитал (инвестиции)</t>
  </si>
  <si>
    <t>Нераспределённая прибыль</t>
  </si>
  <si>
    <t>💡 Накопленная ЧП</t>
  </si>
  <si>
    <t>ИТОГО ПАССИВЫ И КАПИТАЛ</t>
  </si>
  <si>
    <t>КОНТРОЛЬ: Активы - Пассивы</t>
  </si>
  <si>
    <t>💡 = 0 → баланс ОК</t>
  </si>
  <si>
    <t>📌 Управленческий баланс. Для бухгалтерской отчётности (НСФО/МСФО) обратитесь к профессиональному бухгалтеру.</t>
  </si>
  <si>
    <t>СЦЕНАРНОЕ ВЛИЯНИЕ КЛЮЧЕВЫХ ФАКТОРОВ</t>
  </si>
  <si>
    <t>📌 Как изменится среднемесячная прибыль 2-го года при изменении ОДНОГО параметра. Остальные — фиксированы. Основано на реальных связях модели.</t>
  </si>
  <si>
    <t>Фактор</t>
  </si>
  <si>
    <t>-30%</t>
  </si>
  <si>
    <t>-10%</t>
  </si>
  <si>
    <t>Базовый</t>
  </si>
  <si>
    <t>+10%</t>
  </si>
  <si>
    <t>+30%</t>
  </si>
  <si>
    <t>💡 Чек влияет на выручку напрямую. При падении чека на 30% выручка падает на 30%, но постоянные расходы остаются — прибыль падает сильнее.</t>
  </si>
  <si>
    <t>💡 Аренда — фиксированный расход. Рост аренды на 30% = минус аренда×0.3×12 из прибыли. Прямой линейный эффект.</t>
  </si>
  <si>
    <t>Себестоимость продукта</t>
  </si>
  <si>
    <t>💡 Рост закупочных цен на 10% напрямую снижает валовую прибыль. Это переменный расход — влияет на каждую единицу проданного товара.</t>
  </si>
  <si>
    <t>💡 Аренда — фиксированный расход. Рост аренды на X ₸ снижает прибыль ровно на X ₸. Линейная зависимость.</t>
  </si>
  <si>
    <t>ФОТ (зарплаты)</t>
  </si>
  <si>
    <t>💡 ФОТ — фиксированный расход. Дополнительный сотрудник = минус его зарплата × 1.175 из прибыли напрямую.</t>
  </si>
  <si>
    <t>КАК ЧИТАТЬ ТАБЛИЦУ</t>
  </si>
  <si>
    <t>Пример: если средний чек упадёт на 30%, ваша среднемесячная прибыль 2-го года составит значение в столбце «-30%». Если вырастет на 10% — значение в столбце «+10%». Базовый столбец = текущий прогноз без изменений.</t>
  </si>
  <si>
    <t>💡 Это упрощённый однофакторный анализ. Изменяется один параметр, остальные фиксированы. Для многофакторного анализа используйте Data Table в Excel (Данные → Таблица данных).</t>
  </si>
  <si>
    <t>ПРОВЕРОЧНЫЙ ЧЕК-ЛИСТ МОДЕЛИ</t>
  </si>
  <si>
    <t>📌 Автоматические проверки. Если видите ❌ или ⚠️ — обратите внимание.</t>
  </si>
  <si>
    <t>Проверка</t>
  </si>
  <si>
    <t>Формула/Значение</t>
  </si>
  <si>
    <t>Порог</t>
  </si>
  <si>
    <t>Статус</t>
  </si>
  <si>
    <t>Что делать</t>
  </si>
  <si>
    <t>MIN(ДС) &lt; 0</t>
  </si>
  <si>
    <t>→ Увеличьте оборотный капитал или кредитную линию</t>
  </si>
  <si>
    <t>Убыток &gt; 6 мес подряд?</t>
  </si>
  <si>
    <t>&gt; 6 убыточных месяцев</t>
  </si>
  <si>
    <t>→ Снизьте постоянные расходы или скорректируйте ramp-up</t>
  </si>
  <si>
    <t>Себестоимость &gt; 50%?</t>
  </si>
  <si>
    <t>&gt; 50%</t>
  </si>
  <si>
    <t>→ Смените поставщиков или пересмотрите ассортимент</t>
  </si>
  <si>
    <t>Аренда &gt; 25% выручки (Г2)?</t>
  </si>
  <si>
    <t>&gt; 25%</t>
  </si>
  <si>
    <t>→ Торгуйтесь по аренде или ищите другую локацию</t>
  </si>
  <si>
    <t>ФОТ &gt; 30% выручки?</t>
  </si>
  <si>
    <t>&gt; 30%</t>
  </si>
  <si>
    <t>→ Оптимизируйте штат или повысьте выручку</t>
  </si>
  <si>
    <t>Ramp-up М1 &gt; 70%?</t>
  </si>
  <si>
    <t>М1 &gt; 70%</t>
  </si>
  <si>
    <t>→ Сделайте ramp-up реалистичнее (М1 ≤ 50%)</t>
  </si>
  <si>
    <t>Формула P&amp;L корректна?</t>
  </si>
  <si>
    <t>Расхождение &gt; 1 ₸</t>
  </si>
  <si>
    <t>→ Пересоберите модель, проверьте исходные данные</t>
  </si>
  <si>
    <t>Баланс сходится?</t>
  </si>
  <si>
    <t>Расхождение &gt; 100 ₸</t>
  </si>
  <si>
    <t>→ Ошибка в Cash Flow или Балансе — проверьте связи</t>
  </si>
  <si>
    <t>Окупаемость &gt; 36 мес?</t>
  </si>
  <si>
    <t>&gt; 36 мес</t>
  </si>
  <si>
    <t>→ Снизьте CAPEX, поднимите чек или возьмите кредит</t>
  </si>
  <si>
    <t>NPV отрицательный?</t>
  </si>
  <si>
    <t>&lt; 0</t>
  </si>
  <si>
    <t>→ Пересмотрите допущения — проект разрушает стоимость</t>
  </si>
  <si>
    <t>СТРЕСС-ТЕСТ ФИНАНСОВОЙ МОДЕЛИ — КОФЕЙНЯ</t>
  </si>
  <si>
    <t>📌 4 стресс-сценария: как кофейня переживёт снижение трафика, чека, рост аренды и себестоимости. Все формулы — живые, пересчитываются из ⚙️ ПАРАМЕТРЫ.</t>
  </si>
  <si>
    <t>ПАРАМЕТРЫ СТРЕСС-СЦЕНАРИЕВ</t>
  </si>
  <si>
    <t>Мягкий стресс</t>
  </si>
  <si>
    <t>Умеренный стресс</t>
  </si>
  <si>
    <t>Жёсткий стресс</t>
  </si>
  <si>
    <t>Критический</t>
  </si>
  <si>
    <t>Описание сценариев</t>
  </si>
  <si>
    <t>💡 Мягкий: сезонный спад или мелкие неурядицы. Умеренный: конкурент рядом, рост цен. Жёсткий: кризис + конкуренция. Критический: всё плохо сразу.</t>
  </si>
  <si>
    <t>Шок трафика (Δ клиентов)</t>
  </si>
  <si>
    <t>−10% лёгкий спад → −50% катастрофа</t>
  </si>
  <si>
    <t>Шок среднего чека (Δ чека)</t>
  </si>
  <si>
    <t>Снижение чека из-за конкуренции/кризиса</t>
  </si>
  <si>
    <t>Рост себестоимости (Δ COGS %)</t>
  </si>
  <si>
    <t>Рост закупочных цен на кофе, молоко</t>
  </si>
  <si>
    <t>Рост аренды (Δ аренда)</t>
  </si>
  <si>
    <t>Арендодатель повышает ставку</t>
  </si>
  <si>
    <t>Рост ФОТ (Δ зарплата)</t>
  </si>
  <si>
    <t>Рост зарплат / доп. сотрудник</t>
  </si>
  <si>
    <t>РАСЧЁТНЫЕ ПАРАМЕТРЫ ПРИ СТРЕССЕ (Год 2, среднемесячно)</t>
  </si>
  <si>
    <t>Средний чек, ₸</t>
  </si>
  <si>
    <t>Себестоимость, %</t>
  </si>
  <si>
    <t>Аренда, ₸/мес</t>
  </si>
  <si>
    <t>ФОТ + налоги, ₸/мес</t>
  </si>
  <si>
    <t>P&amp;L ПРИ СТРЕССЕ (Год 2, среднемесячно)</t>
  </si>
  <si>
    <t>ФОТ + налоги работодателя</t>
  </si>
  <si>
    <t>Прочие постоянные</t>
  </si>
  <si>
    <t>Налог (УСН 3%)</t>
  </si>
  <si>
    <t>КЛЮЧЕВЫЕ МЕТРИКИ</t>
  </si>
  <si>
    <t>Рентабельность чистая</t>
  </si>
  <si>
    <t>Доля чистой прибыли от выручки</t>
  </si>
  <si>
    <t>Дельта от базы, ₸/мес</t>
  </si>
  <si>
    <t>-</t>
  </si>
  <si>
    <t>Дельта от базы, %</t>
  </si>
  <si>
    <t>Окупаемость инвестиций, мес</t>
  </si>
  <si>
    <t>Простая окупаемость (инвест. / прибыль)</t>
  </si>
  <si>
    <t>Запас прочности выручки</t>
  </si>
  <si>
    <t>Насколько можно ещё просесть до убытка</t>
  </si>
  <si>
    <t>ОДНОФАКТОРНЫЙ АНАЛИЗ ЧУВСТВИТЕЛЬНОСТИ (Торнадо)</t>
  </si>
  <si>
    <t>💡 Какой фактор сильнее всего влияет на прибыль? Шок −умеренный: каждый фактор отдельно, остальные = база.</t>
  </si>
  <si>
    <t>Шок</t>
  </si>
  <si>
    <t>Прибыль при шоке</t>
  </si>
  <si>
    <t>Дельта, ₸</t>
  </si>
  <si>
    <t>Дельта, %</t>
  </si>
  <si>
    <t>Ранг</t>
  </si>
  <si>
    <t>Трафик − 20%</t>
  </si>
  <si>
    <t>Чек − 10%</t>
  </si>
  <si>
    <t>Себестоимость + 5 p.p.</t>
  </si>
  <si>
    <t>Аренда + 20%</t>
  </si>
  <si>
    <t>ФОТ + 10%</t>
  </si>
  <si>
    <t>ТОЧКА БЕЗУБЫТОЧНОСТИ (БЕЗ СТРЕССА)</t>
  </si>
  <si>
    <t>💡 При каком минимуме клиентов кофейня выходит в ноль? Формула: постоянные / (чек × маржа × дни). Маржа = 1 − COGS% − потери% − налог%.</t>
  </si>
  <si>
    <t>Маржа контрибуции на 1 клиента</t>
  </si>
  <si>
    <t>₸/клиент</t>
  </si>
  <si>
    <t>= чек × (1 − COGS% − потери% − налог%)</t>
  </si>
  <si>
    <t>Постоянные + аморт. + %% в месяц</t>
  </si>
  <si>
    <t>Безубыточность, клиентов/день</t>
  </si>
  <si>
    <t>= постоянные / (маржа × дни)</t>
  </si>
  <si>
    <t>Запас до безубыточности</t>
  </si>
  <si>
    <t>Выручка может упасть на столько до нуля прибыли</t>
  </si>
  <si>
    <t>🔥 СТРЕСС-СЦЕНАРИЙ БЕЗУБЫТОЧНОСТИ</t>
  </si>
  <si>
    <t>💡 При каждом сценарии: минимум клиентов для выхода в ноль с учётом стресс-параметров.</t>
  </si>
  <si>
    <t>Мягкий</t>
  </si>
  <si>
    <t>Умеренный</t>
  </si>
  <si>
    <t>Жёсткий</t>
  </si>
  <si>
    <t>Маржа/клиент (с уч. стресса), ₸</t>
  </si>
  <si>
    <t>Постоянные при стрессе, ₸/мес</t>
  </si>
  <si>
    <t>Безубыт., клиентов/день</t>
  </si>
  <si>
    <t>vs Доступно клиентов (с уч. шока)</t>
  </si>
  <si>
    <t>ВЕРДИКТ</t>
  </si>
  <si>
    <t>ZEREK Financial Model | 🔥 СТРЕСС-ТЕСТ | @zerekai_bot</t>
  </si>
  <si>
    <t>АВТОМАТИЧЕСКИЕ ВЫВОДЫ</t>
  </si>
  <si>
    <t>🟢 Базовый:</t>
  </si>
  <si>
    <t>🟡 Мягкий стресс:</t>
  </si>
  <si>
    <t>🟠 Жёсткий стресс:</t>
  </si>
  <si>
    <t>🔴 Критический: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</si>
</sst>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164" formatCode="0.0%"/>
    <numFmt numFmtId="165" formatCode="#,##0&quot; ₸&quot;;\(#,##0&quot; ₸)&quot;;\-"/>
    <numFmt numFmtId="166" formatCode="0&quot; мес&quot;"/>
    <numFmt numFmtId="167" formatCode="#,##0&quot; ₸&quot;"/>
    <numFmt numFmtId="168" formatCode="0.000"/>
    <numFmt numFmtId="169" formatCode="0%\p.&quot;p.&quot;"/>
    <numFmt numFmtId="170" formatCode="#,##0;\(#,##0\);\-"/>
  </numFmts>
  <fonts count="51" x14ac:knownFonts="1">
    <font>
      <sz val="11"/>
      <color theme="1"/>
      <name val="Calibri"/>
      <family val="2"/>
      <charset val="1"/>
    </font>
    <font>
      <sz val="11"/>
      <color theme="1"/>
      <name val="Times New Roman"/>
      <family val="1"/>
      <charset val="204"/>
    </font>
    <font>
      <b/>
      <sz val="12"/>
      <color rgb="FFFFFFFF"/>
      <name val="Arial"/>
      <family val="2"/>
      <charset val="204"/>
    </font>
    <font>
      <i/>
      <sz val="9"/>
      <color rgb="FF444444"/>
      <name val="Arial"/>
      <family val="2"/>
      <charset val="204"/>
    </font>
    <font>
      <sz val="10"/>
      <color rgb="FFFFFFFF"/>
      <name val="Arial"/>
      <family val="2"/>
      <charset val="204"/>
    </font>
    <font>
      <b/>
      <sz val="10"/>
      <color rgb="FFFFFFFF"/>
      <name val="Arial"/>
      <family val="2"/>
      <charset val="204"/>
    </font>
    <font>
      <sz val="10"/>
      <color rgb="FF000000"/>
      <name val="Arial"/>
      <family val="2"/>
      <charset val="204"/>
    </font>
    <font>
      <b/>
      <sz val="10"/>
      <color rgb="FF2E74B5"/>
      <name val="Arial"/>
      <family val="2"/>
      <charset val="204"/>
    </font>
    <font>
      <b/>
      <u/>
      <sz val="10"/>
      <color rgb="FF1F3864"/>
      <name val="Arial"/>
      <family val="2"/>
      <charset val="204"/>
    </font>
    <font>
      <i/>
      <sz val="9"/>
      <color rgb="FF666666"/>
      <name val="Arial"/>
      <family val="2"/>
      <charset val="204"/>
    </font>
    <font>
      <u/>
      <sz val="11"/>
      <color theme="10"/>
      <name val="Calibri"/>
      <family val="2"/>
      <charset val="1"/>
    </font>
    <font>
      <sz val="10"/>
      <color theme="1"/>
      <name val="Times New Roman"/>
      <family val="1"/>
      <charset val="204"/>
    </font>
    <font>
      <sz val="10"/>
      <name val="Times New Roman"/>
      <family val="1"/>
      <charset val="204"/>
    </font>
    <font>
      <i/>
      <sz val="10"/>
      <color rgb="FF999999"/>
      <name val="Times New Roman"/>
      <family val="1"/>
      <charset val="204"/>
    </font>
    <font>
      <sz val="9"/>
      <color theme="1"/>
      <name val="Times New Roman"/>
      <family val="1"/>
      <charset val="204"/>
    </font>
    <font>
      <sz val="9"/>
      <color rgb="FF000000"/>
      <name val="Times New Roman"/>
      <family val="1"/>
      <charset val="204"/>
    </font>
    <font>
      <b/>
      <sz val="12"/>
      <color rgb="FFFFFFFF"/>
      <name val="Times New Roman"/>
      <family val="1"/>
      <charset val="204"/>
    </font>
    <font>
      <i/>
      <sz val="9"/>
      <color rgb="FF444444"/>
      <name val="Times New Roman"/>
      <family val="1"/>
      <charset val="204"/>
    </font>
    <font>
      <b/>
      <sz val="10"/>
      <color rgb="FFFFFFFF"/>
      <name val="Times New Roman"/>
      <family val="1"/>
      <charset val="204"/>
    </font>
    <font>
      <i/>
      <sz val="9"/>
      <color rgb="FF999999"/>
      <name val="Times New Roman"/>
      <family val="1"/>
      <charset val="204"/>
    </font>
    <font>
      <b/>
      <sz val="9"/>
      <color rgb="FFFFFFFF"/>
      <name val="Times New Roman"/>
      <family val="1"/>
      <charset val="204"/>
    </font>
    <font>
      <sz val="10"/>
      <color rgb="FF000000"/>
      <name val="Times New Roman"/>
      <family val="1"/>
      <charset val="204"/>
    </font>
    <font>
      <sz val="9"/>
      <color rgb="FF0000FF"/>
      <name val="Times New Roman"/>
      <family val="1"/>
      <charset val="204"/>
    </font>
    <font>
      <sz val="9"/>
      <color rgb="FF666666"/>
      <name val="Times New Roman"/>
      <family val="1"/>
      <charset val="204"/>
    </font>
    <font>
      <b/>
      <sz val="9"/>
      <color rgb="FF000000"/>
      <name val="Times New Roman"/>
      <family val="1"/>
      <charset val="204"/>
    </font>
    <font>
      <b/>
      <sz val="12"/>
      <color theme="0"/>
      <name val="Times New Roman"/>
      <family val="1"/>
      <charset val="204"/>
    </font>
    <font>
      <i/>
      <sz val="9"/>
      <color rgb="FF666666"/>
      <name val="Times New Roman"/>
      <family val="1"/>
      <charset val="204"/>
    </font>
    <font>
      <b/>
      <sz val="9"/>
      <color theme="1"/>
      <name val="Times New Roman"/>
      <family val="1"/>
      <charset val="204"/>
    </font>
    <font>
      <b/>
      <i/>
      <sz val="9"/>
      <color rgb="FFFFFFFF"/>
      <name val="Times New Roman"/>
      <family val="1"/>
      <charset val="204"/>
    </font>
    <font>
      <b/>
      <sz val="9"/>
      <color rgb="FF1F3864"/>
      <name val="Times New Roman"/>
      <family val="1"/>
      <charset val="204"/>
    </font>
    <font>
      <sz val="9"/>
      <color rgb="FF555555"/>
      <name val="Times New Roman"/>
      <family val="1"/>
      <charset val="204"/>
    </font>
    <font>
      <b/>
      <i/>
      <sz val="10"/>
      <color rgb="FFFFFFFF"/>
      <name val="Times New Roman"/>
      <family val="1"/>
      <charset val="204"/>
    </font>
    <font>
      <b/>
      <sz val="11"/>
      <color rgb="FF1A1A2E"/>
      <name val="Cambria"/>
      <charset val="1"/>
    </font>
    <font>
      <sz val="10"/>
      <color rgb="FF1A1A2E"/>
      <name val="Cambria"/>
      <charset val="1"/>
    </font>
    <font>
      <sz val="9"/>
      <color rgb="FF6B6B8A"/>
      <name val="Cambria"/>
      <charset val="1"/>
    </font>
    <font>
      <b/>
      <sz val="10"/>
      <color rgb="FF000000"/>
      <name val="Times New Roman"/>
      <family val="1"/>
      <charset val="204"/>
    </font>
    <font>
      <b/>
      <sz val="10"/>
      <color rgb="FF1F3864"/>
      <name val="Times New Roman"/>
      <family val="1"/>
      <charset val="204"/>
    </font>
    <font>
      <b/>
      <sz val="10"/>
      <color theme="0"/>
      <name val="Times New Roman"/>
      <family val="1"/>
      <charset val="204"/>
    </font>
    <font>
      <b/>
      <i/>
      <sz val="9"/>
      <color rgb="FF4472C4"/>
      <name val="Times New Roman"/>
      <family val="1"/>
      <charset val="204"/>
    </font>
    <font>
      <b/>
      <i/>
      <sz val="9"/>
      <color rgb="FF444444"/>
      <name val="Times New Roman"/>
      <family val="1"/>
      <charset val="204"/>
    </font>
    <font>
      <sz val="9"/>
      <color rgb="FFFFFFFF"/>
      <name val="Times New Roman"/>
      <family val="1"/>
      <charset val="204"/>
    </font>
    <font>
      <i/>
      <sz val="9"/>
      <color rgb="FF808080"/>
      <name val="Times New Roman"/>
      <family val="1"/>
      <charset val="204"/>
    </font>
    <font>
      <b/>
      <sz val="10"/>
      <color rgb="FFFFFFFF"/>
      <name val="Cambria"/>
      <charset val="1"/>
    </font>
    <font>
      <i/>
      <sz val="9"/>
      <color rgb="FF8B5E20"/>
      <name val="Cambria"/>
      <charset val="1"/>
    </font>
    <font>
      <b/>
      <i/>
      <sz val="9"/>
      <color rgb="FF1F3864"/>
      <name val="Times New Roman"/>
      <family val="1"/>
      <charset val="204"/>
    </font>
    <font>
      <i/>
      <sz val="9"/>
      <color rgb="FF888888"/>
      <name val="Times New Roman"/>
      <family val="1"/>
      <charset val="204"/>
    </font>
    <font>
      <b/>
      <sz val="9"/>
      <color rgb="FF0000FF"/>
      <name val="Times New Roman"/>
      <family val="1"/>
      <charset val="204"/>
    </font>
    <font>
      <b/>
      <sz val="9"/>
      <color rgb="FFCC0000"/>
      <name val="Times New Roman"/>
      <family val="1"/>
      <charset val="204"/>
    </font>
    <font>
      <sz val="9"/>
      <color rgb="FFCC0000"/>
      <name val="Times New Roman"/>
      <family val="1"/>
      <charset val="204"/>
    </font>
    <font>
      <b/>
      <sz val="9"/>
      <color rgb="FF006100"/>
      <name val="Times New Roman"/>
      <family val="1"/>
      <charset val="204"/>
    </font>
    <font>
      <i/>
      <sz val="9"/>
      <color rgb="FFAAAAAA"/>
      <name val="Times New Roman"/>
      <family val="1"/>
      <charset val="204"/>
    </font>
  </fonts>
  <fills count="19">
    <fill>
      <patternFill patternType="none"/>
    </fill>
    <fill>
      <patternFill patternType="gray125"/>
    </fill>
    <fill>
      <patternFill patternType="solid">
        <fgColor rgb="FF1F3864"/>
        <bgColor rgb="FF444444"/>
      </patternFill>
    </fill>
    <fill>
      <patternFill patternType="solid">
        <fgColor rgb="FFEEF2FF"/>
        <bgColor rgb="FFF2F2F2"/>
      </patternFill>
    </fill>
    <fill>
      <patternFill patternType="solid">
        <fgColor rgb="FFFFFFFF"/>
        <bgColor rgb="FFF2F2F2"/>
      </patternFill>
    </fill>
    <fill>
      <patternFill patternType="solid">
        <fgColor rgb="FFF2F2F2"/>
        <bgColor rgb="FFEEF2FF"/>
      </patternFill>
    </fill>
    <fill>
      <patternFill patternType="solid">
        <fgColor rgb="FFE4DFEC"/>
        <bgColor rgb="FFE6E0EC"/>
      </patternFill>
    </fill>
    <fill>
      <patternFill patternType="solid">
        <fgColor theme="7" tint="0.79979857783745845"/>
        <bgColor rgb="FFE4DFEC"/>
      </patternFill>
    </fill>
    <fill>
      <patternFill patternType="solid">
        <fgColor rgb="FF2E74B5"/>
        <bgColor rgb="FF4472C4"/>
      </patternFill>
    </fill>
    <fill>
      <patternFill patternType="solid">
        <fgColor rgb="FFFFFFCC"/>
        <bgColor rgb="FFFFF2CC"/>
      </patternFill>
    </fill>
    <fill>
      <patternFill patternType="solid">
        <fgColor theme="6" tint="0.59987182226020086"/>
        <bgColor rgb="FFC6EFCE"/>
      </patternFill>
    </fill>
    <fill>
      <patternFill patternType="solid">
        <fgColor rgb="FFFFF2CC"/>
        <bgColor rgb="FFFFFFCC"/>
      </patternFill>
    </fill>
    <fill>
      <patternFill patternType="solid">
        <fgColor rgb="FFE2EFDA"/>
        <bgColor rgb="FFF2F2F2"/>
      </patternFill>
    </fill>
    <fill>
      <patternFill patternType="solid">
        <fgColor rgb="FFFCE4D6"/>
        <bgColor rgb="FFFFF2CC"/>
      </patternFill>
    </fill>
    <fill>
      <patternFill patternType="solid">
        <fgColor rgb="FFD6E4F0"/>
        <bgColor rgb="FFD6DCE4"/>
      </patternFill>
    </fill>
    <fill>
      <patternFill patternType="solid">
        <fgColor rgb="FFFFCCCC"/>
        <bgColor rgb="FFFFC7CE"/>
      </patternFill>
    </fill>
    <fill>
      <patternFill patternType="solid">
        <fgColor rgb="FF1A1A2E"/>
        <bgColor rgb="FF000000"/>
      </patternFill>
    </fill>
    <fill>
      <patternFill patternType="solid">
        <fgColor rgb="FFD6DCE4"/>
        <bgColor rgb="FFD6E4F0"/>
      </patternFill>
    </fill>
    <fill>
      <patternFill patternType="solid">
        <fgColor rgb="FFC6EFCE"/>
        <bgColor rgb="FFD7E4BD"/>
      </patternFill>
    </fill>
  </fills>
  <borders count="15">
    <border>
      <left/>
      <right/>
      <top/>
      <bottom/>
      <diagonal/>
    </border>
    <border>
      <left style="thin">
        <color rgb="FFD0D0D0"/>
      </left>
      <right style="thin">
        <color rgb="FFD0D0D0"/>
      </right>
      <top style="thin">
        <color rgb="FFD0D0D0"/>
      </top>
      <bottom style="thin">
        <color rgb="FFD0D0D0"/>
      </bottom>
      <diagonal/>
    </border>
    <border>
      <left style="thin">
        <color rgb="FFD0D0D0"/>
      </left>
      <right/>
      <top style="thin">
        <color rgb="FFD0D0D0"/>
      </top>
      <bottom/>
      <diagonal/>
    </border>
    <border>
      <left/>
      <right/>
      <top style="thin">
        <color rgb="FFD0D0D0"/>
      </top>
      <bottom style="thin">
        <color rgb="FFD0D0D0"/>
      </bottom>
      <diagonal/>
    </border>
    <border>
      <left style="thin">
        <color rgb="FFD0D0D0"/>
      </left>
      <right/>
      <top style="thin">
        <color rgb="FFD0D0D0"/>
      </top>
      <bottom style="thin">
        <color rgb="FFD0D0D0"/>
      </bottom>
      <diagonal/>
    </border>
    <border>
      <left style="thin">
        <color rgb="FFD0D0D0"/>
      </left>
      <right style="thin">
        <color rgb="FFD0D0D0"/>
      </right>
      <top style="thin">
        <color rgb="FFD0D0D0"/>
      </top>
      <bottom/>
      <diagonal/>
    </border>
    <border>
      <left/>
      <right/>
      <top style="thin">
        <color rgb="FFD0D0D0"/>
      </top>
      <bottom/>
      <diagonal/>
    </border>
    <border>
      <left style="thin">
        <color rgb="FFD0D0D0"/>
      </left>
      <right/>
      <top/>
      <bottom/>
      <diagonal/>
    </border>
    <border>
      <left/>
      <right/>
      <top/>
      <bottom style="thin">
        <color rgb="FFD0D0D0"/>
      </bottom>
      <diagonal/>
    </border>
    <border>
      <left style="thin">
        <color rgb="FFD0D0D0"/>
      </left>
      <right/>
      <top/>
      <bottom style="thin">
        <color rgb="FFD0D0D0"/>
      </bottom>
      <diagonal/>
    </border>
    <border>
      <left style="thin">
        <color rgb="FFD0D0D0"/>
      </left>
      <right style="thin">
        <color rgb="FFD0D0D0"/>
      </right>
      <top/>
      <bottom style="thin">
        <color rgb="FFD0D0D0"/>
      </bottom>
      <diagonal/>
    </border>
    <border>
      <left/>
      <right style="thin">
        <color rgb="FFD0D0D0"/>
      </right>
      <top style="thin">
        <color rgb="FFD0D0D0"/>
      </top>
      <bottom style="thin">
        <color rgb="FFD0D0D0"/>
      </bottom>
      <diagonal/>
    </border>
    <border>
      <left/>
      <right style="thin">
        <color rgb="FFD0D0D0"/>
      </right>
      <top style="thin">
        <color rgb="FFD0D0D0"/>
      </top>
      <bottom/>
      <diagonal/>
    </border>
    <border>
      <left style="thin">
        <color rgb="FFD0D0D0"/>
      </left>
      <right style="thin">
        <color rgb="FFD0D0D0"/>
      </right>
      <top style="thin">
        <color rgb="FFD0D0D0"/>
      </top>
      <bottom style="thin">
        <color auto="1"/>
      </bottom>
      <diagonal/>
    </border>
    <border>
      <left style="thin">
        <color rgb="FFD0D0D0"/>
      </left>
      <right style="thin">
        <color rgb="FFD0D0D0"/>
      </right>
      <top style="thin">
        <color rgb="FFD0D0D0"/>
      </top>
      <bottom style="double">
        <color auto="1"/>
      </bottom>
      <diagonal/>
    </border>
  </borders>
  <cellStyleXfs count="2">
    <xf numFmtId="0" fontId="0" fillId="0" borderId="0"/>
    <xf numFmtId="0" fontId="10" fillId="0" borderId="0"/>
  </cellStyleXfs>
  <cellXfs count="331">
    <xf numFmtId="0" fontId="0" fillId="0" borderId="0" xfId="0"/>
    <xf numFmtId="0" fontId="25" fillId="2" borderId="1" xfId="0" applyFont="1" applyFill="1" applyBorder="1" applyAlignment="1">
      <alignment horizontal="center" vertical="center"/>
    </xf>
    <xf numFmtId="0" fontId="18" fillId="2" borderId="1" xfId="0" applyFont="1" applyFill="1" applyBorder="1" applyAlignment="1">
      <alignment horizontal="left" vertical="center"/>
    </xf>
    <xf numFmtId="0" fontId="17" fillId="3" borderId="0" xfId="0" applyFont="1" applyFill="1" applyBorder="1" applyAlignment="1">
      <alignment horizontal="left" vertical="center" wrapText="1"/>
    </xf>
    <xf numFmtId="0" fontId="16" fillId="2" borderId="1" xfId="0" applyFont="1" applyFill="1" applyBorder="1" applyAlignment="1">
      <alignment horizontal="center" vertical="center"/>
    </xf>
    <xf numFmtId="0" fontId="12" fillId="6" borderId="0" xfId="0" applyFont="1" applyFill="1" applyBorder="1" applyAlignment="1">
      <alignment horizontal="left" vertical="center" wrapText="1"/>
    </xf>
    <xf numFmtId="0" fontId="12" fillId="7" borderId="7" xfId="0" applyFont="1" applyFill="1" applyBorder="1" applyAlignment="1">
      <alignment horizontal="left" vertical="center" wrapText="1"/>
    </xf>
    <xf numFmtId="0" fontId="6" fillId="6" borderId="4" xfId="0" applyFont="1" applyFill="1" applyBorder="1" applyAlignment="1">
      <alignment horizontal="left" vertical="center" wrapText="1"/>
    </xf>
    <xf numFmtId="0" fontId="6" fillId="6" borderId="2" xfId="0" applyFont="1" applyFill="1" applyBorder="1" applyAlignment="1">
      <alignment horizontal="left" vertical="center" wrapText="1"/>
    </xf>
    <xf numFmtId="0" fontId="6" fillId="6" borderId="7" xfId="0" applyFont="1" applyFill="1" applyBorder="1" applyAlignment="1">
      <alignment horizontal="left" vertical="center" wrapText="1"/>
    </xf>
    <xf numFmtId="0" fontId="8" fillId="4" borderId="4" xfId="0" applyFont="1" applyFill="1" applyBorder="1" applyAlignment="1">
      <alignment horizontal="left" vertical="center"/>
    </xf>
    <xf numFmtId="0" fontId="5" fillId="2" borderId="4" xfId="0" applyFont="1" applyFill="1" applyBorder="1" applyAlignment="1">
      <alignment horizontal="center" vertical="center"/>
    </xf>
    <xf numFmtId="0" fontId="3" fillId="3" borderId="2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1" fillId="0" borderId="0" xfId="0" applyFont="1" applyAlignment="1">
      <alignment vertical="center"/>
    </xf>
    <xf numFmtId="0" fontId="4" fillId="2" borderId="3" xfId="0" applyFont="1" applyFill="1" applyBorder="1" applyAlignment="1">
      <alignment vertical="center"/>
    </xf>
    <xf numFmtId="0" fontId="6" fillId="0" borderId="0" xfId="0" applyFont="1" applyAlignment="1">
      <alignment vertical="center"/>
    </xf>
    <xf numFmtId="0" fontId="7" fillId="4" borderId="0" xfId="0" applyFont="1" applyFill="1" applyAlignment="1">
      <alignment horizontal="center" vertical="center"/>
    </xf>
    <xf numFmtId="0" fontId="8" fillId="4" borderId="0" xfId="0" applyFont="1" applyFill="1" applyAlignment="1">
      <alignment vertical="center"/>
    </xf>
    <xf numFmtId="0" fontId="9" fillId="5" borderId="5" xfId="0" applyFont="1" applyFill="1" applyBorder="1" applyAlignment="1">
      <alignment horizontal="left" vertical="center" wrapText="1"/>
    </xf>
    <xf numFmtId="0" fontId="7" fillId="4" borderId="6" xfId="0" applyFont="1" applyFill="1" applyBorder="1" applyAlignment="1">
      <alignment horizontal="center" vertical="center"/>
    </xf>
    <xf numFmtId="0" fontId="8" fillId="4" borderId="6" xfId="0" applyFont="1" applyFill="1" applyBorder="1" applyAlignment="1">
      <alignment vertical="center"/>
    </xf>
    <xf numFmtId="0" fontId="8" fillId="4" borderId="6" xfId="1" applyFont="1" applyFill="1" applyBorder="1" applyAlignment="1">
      <alignment vertical="center"/>
    </xf>
    <xf numFmtId="0" fontId="9" fillId="5" borderId="6" xfId="0" applyFont="1" applyFill="1" applyBorder="1" applyAlignment="1">
      <alignment horizontal="left" vertical="center" wrapText="1"/>
    </xf>
    <xf numFmtId="0" fontId="7" fillId="4" borderId="3" xfId="0" applyFont="1" applyFill="1" applyBorder="1" applyAlignment="1">
      <alignment horizontal="center" vertical="center"/>
    </xf>
    <xf numFmtId="0" fontId="6" fillId="2" borderId="0" xfId="0" applyFont="1" applyFill="1" applyAlignment="1">
      <alignment vertical="center"/>
    </xf>
    <xf numFmtId="0" fontId="6" fillId="4" borderId="0" xfId="0" applyFont="1" applyFill="1" applyAlignment="1">
      <alignment horizontal="center" vertical="center"/>
    </xf>
    <xf numFmtId="0" fontId="6" fillId="4" borderId="6" xfId="0" applyFont="1" applyFill="1" applyBorder="1" applyAlignment="1">
      <alignment horizontal="center" vertical="center"/>
    </xf>
    <xf numFmtId="0" fontId="6" fillId="4" borderId="3" xfId="0" applyFont="1" applyFill="1" applyBorder="1" applyAlignment="1">
      <alignment horizontal="center" vertical="center"/>
    </xf>
    <xf numFmtId="0" fontId="11" fillId="0" borderId="0" xfId="0" applyFont="1" applyAlignment="1">
      <alignment horizontal="center" vertical="center"/>
    </xf>
    <xf numFmtId="0" fontId="11" fillId="0" borderId="0" xfId="0" applyFont="1" applyAlignment="1">
      <alignment vertical="center"/>
    </xf>
    <xf numFmtId="0" fontId="13" fillId="0" borderId="1" xfId="0" applyFont="1" applyBorder="1" applyAlignment="1">
      <alignment vertical="center"/>
    </xf>
    <xf numFmtId="0" fontId="14" fillId="0" borderId="0" xfId="0" applyFont="1"/>
    <xf numFmtId="0" fontId="15" fillId="2" borderId="0" xfId="0" applyFont="1" applyFill="1"/>
    <xf numFmtId="0" fontId="16" fillId="2" borderId="0" xfId="0" applyFont="1" applyFill="1"/>
    <xf numFmtId="0" fontId="15" fillId="3" borderId="0" xfId="0" applyFont="1" applyFill="1"/>
    <xf numFmtId="0" fontId="17" fillId="3" borderId="0" xfId="0" applyFont="1" applyFill="1"/>
    <xf numFmtId="0" fontId="15" fillId="0" borderId="0" xfId="0" applyFont="1"/>
    <xf numFmtId="0" fontId="18" fillId="8" borderId="3" xfId="0" applyFont="1" applyFill="1" applyBorder="1" applyAlignment="1">
      <alignment horizontal="center"/>
    </xf>
    <xf numFmtId="0" fontId="18" fillId="8" borderId="3" xfId="0" applyFont="1" applyFill="1" applyBorder="1"/>
    <xf numFmtId="0" fontId="15" fillId="5" borderId="8" xfId="0" applyFont="1" applyFill="1" applyBorder="1"/>
    <xf numFmtId="0" fontId="15" fillId="5" borderId="0" xfId="0" applyFont="1" applyFill="1"/>
    <xf numFmtId="0" fontId="15" fillId="5" borderId="6" xfId="0" applyFont="1" applyFill="1" applyBorder="1"/>
    <xf numFmtId="0" fontId="15" fillId="5" borderId="3" xfId="0" applyFont="1" applyFill="1" applyBorder="1"/>
    <xf numFmtId="0" fontId="19" fillId="0" borderId="0" xfId="0" applyFont="1"/>
    <xf numFmtId="0" fontId="14" fillId="0" borderId="0" xfId="0" applyFont="1" applyAlignment="1">
      <alignment horizontal="center" vertical="center"/>
    </xf>
    <xf numFmtId="0" fontId="18" fillId="2" borderId="1" xfId="0" applyFont="1" applyFill="1" applyBorder="1" applyAlignment="1">
      <alignment horizontal="left" vertical="center"/>
    </xf>
    <xf numFmtId="0" fontId="18" fillId="8" borderId="1" xfId="0" applyFont="1" applyFill="1" applyBorder="1" applyAlignment="1">
      <alignment horizontal="center" vertical="center"/>
    </xf>
    <xf numFmtId="0" fontId="18" fillId="8" borderId="5" xfId="0" applyFont="1" applyFill="1" applyBorder="1" applyAlignment="1">
      <alignment horizontal="center" vertical="center"/>
    </xf>
    <xf numFmtId="0" fontId="20" fillId="8" borderId="5" xfId="0" applyFont="1" applyFill="1" applyBorder="1" applyAlignment="1">
      <alignment horizontal="center" vertical="center"/>
    </xf>
    <xf numFmtId="0" fontId="21" fillId="5" borderId="4" xfId="0" applyFont="1" applyFill="1" applyBorder="1" applyAlignment="1">
      <alignment horizontal="left" vertical="center" wrapText="1"/>
    </xf>
    <xf numFmtId="0" fontId="15" fillId="5" borderId="5" xfId="0" applyFont="1" applyFill="1" applyBorder="1" applyAlignment="1">
      <alignment horizontal="left" vertical="center" wrapText="1"/>
    </xf>
    <xf numFmtId="0" fontId="22" fillId="9" borderId="5" xfId="0" applyFont="1" applyFill="1" applyBorder="1" applyAlignment="1">
      <alignment horizontal="center" vertical="center"/>
    </xf>
    <xf numFmtId="0" fontId="23" fillId="4" borderId="6" xfId="0" applyFont="1" applyFill="1" applyBorder="1" applyAlignment="1">
      <alignment horizontal="center" vertical="center"/>
    </xf>
    <xf numFmtId="0" fontId="17" fillId="3" borderId="5" xfId="0" applyFont="1" applyFill="1" applyBorder="1" applyAlignment="1">
      <alignment horizontal="left" vertical="center" wrapText="1"/>
    </xf>
    <xf numFmtId="0" fontId="21" fillId="5" borderId="2" xfId="0" applyFont="1" applyFill="1" applyBorder="1" applyAlignment="1">
      <alignment horizontal="left" vertical="center" wrapText="1"/>
    </xf>
    <xf numFmtId="0" fontId="23" fillId="4" borderId="5" xfId="0" applyFont="1" applyFill="1" applyBorder="1" applyAlignment="1">
      <alignment horizontal="center" vertical="center"/>
    </xf>
    <xf numFmtId="0" fontId="21" fillId="5" borderId="9" xfId="0" applyFont="1" applyFill="1" applyBorder="1" applyAlignment="1">
      <alignment horizontal="left" vertical="center" wrapText="1"/>
    </xf>
    <xf numFmtId="164" fontId="22" fillId="9" borderId="5" xfId="0" applyNumberFormat="1" applyFont="1" applyFill="1" applyBorder="1" applyAlignment="1">
      <alignment horizontal="center" vertical="center"/>
    </xf>
    <xf numFmtId="0" fontId="23" fillId="4" borderId="5" xfId="0" applyFont="1" applyFill="1" applyBorder="1" applyAlignment="1">
      <alignment horizontal="center" vertical="center" wrapText="1"/>
    </xf>
    <xf numFmtId="0" fontId="15" fillId="5" borderId="1" xfId="0" applyFont="1" applyFill="1" applyBorder="1" applyAlignment="1">
      <alignment horizontal="left" vertical="center" wrapText="1"/>
    </xf>
    <xf numFmtId="0" fontId="22" fillId="9" borderId="1" xfId="0" applyFont="1" applyFill="1" applyBorder="1" applyAlignment="1">
      <alignment horizontal="center" vertical="center"/>
    </xf>
    <xf numFmtId="0" fontId="23" fillId="4" borderId="1" xfId="0" applyFont="1" applyFill="1" applyBorder="1" applyAlignment="1">
      <alignment horizontal="center" vertical="center" wrapText="1"/>
    </xf>
    <xf numFmtId="0" fontId="17" fillId="3" borderId="1" xfId="0" applyFont="1" applyFill="1" applyBorder="1" applyAlignment="1">
      <alignment horizontal="left" vertical="center" wrapText="1"/>
    </xf>
    <xf numFmtId="3" fontId="22" fillId="9" borderId="5" xfId="0" applyNumberFormat="1" applyFont="1" applyFill="1" applyBorder="1" applyAlignment="1">
      <alignment horizontal="center" vertical="center"/>
    </xf>
    <xf numFmtId="164" fontId="22" fillId="9" borderId="1" xfId="0" applyNumberFormat="1" applyFont="1" applyFill="1" applyBorder="1" applyAlignment="1">
      <alignment horizontal="center" vertical="center"/>
    </xf>
    <xf numFmtId="164" fontId="15" fillId="10" borderId="5" xfId="0" applyNumberFormat="1" applyFont="1" applyFill="1" applyBorder="1" applyAlignment="1">
      <alignment horizontal="center" vertical="center"/>
    </xf>
    <xf numFmtId="164" fontId="15" fillId="10" borderId="1" xfId="0" applyNumberFormat="1" applyFont="1" applyFill="1" applyBorder="1" applyAlignment="1">
      <alignment horizontal="center" vertical="center"/>
    </xf>
    <xf numFmtId="0" fontId="24" fillId="5" borderId="5" xfId="0" applyFont="1" applyFill="1" applyBorder="1" applyAlignment="1">
      <alignment horizontal="left" vertical="center" wrapText="1"/>
    </xf>
    <xf numFmtId="3" fontId="15" fillId="10" borderId="5" xfId="0" applyNumberFormat="1" applyFont="1" applyFill="1" applyBorder="1" applyAlignment="1">
      <alignment horizontal="center" vertical="center"/>
    </xf>
    <xf numFmtId="3" fontId="15" fillId="10" borderId="1" xfId="0" applyNumberFormat="1" applyFont="1" applyFill="1" applyBorder="1" applyAlignment="1">
      <alignment horizontal="center" vertical="center"/>
    </xf>
    <xf numFmtId="0" fontId="23" fillId="4" borderId="3" xfId="0" applyFont="1" applyFill="1" applyBorder="1" applyAlignment="1">
      <alignment horizontal="center" vertical="center"/>
    </xf>
    <xf numFmtId="0" fontId="11" fillId="0" borderId="0" xfId="0" applyFont="1"/>
    <xf numFmtId="0" fontId="13" fillId="0" borderId="0" xfId="0" applyFont="1"/>
    <xf numFmtId="0" fontId="20" fillId="2" borderId="1" xfId="0" applyFont="1" applyFill="1" applyBorder="1" applyAlignment="1">
      <alignment horizontal="left" vertical="center"/>
    </xf>
    <xf numFmtId="0" fontId="20" fillId="8" borderId="10" xfId="0" applyFont="1" applyFill="1" applyBorder="1" applyAlignment="1">
      <alignment horizontal="center" vertical="center"/>
    </xf>
    <xf numFmtId="2" fontId="22" fillId="11" borderId="1" xfId="0" applyNumberFormat="1" applyFont="1" applyFill="1" applyBorder="1" applyAlignment="1">
      <alignment horizontal="center" vertical="center"/>
    </xf>
    <xf numFmtId="0" fontId="17" fillId="4" borderId="0" xfId="0" applyFont="1" applyFill="1" applyAlignment="1">
      <alignment horizontal="left" vertical="center" wrapText="1"/>
    </xf>
    <xf numFmtId="164" fontId="22" fillId="11" borderId="1" xfId="0" applyNumberFormat="1" applyFont="1" applyFill="1" applyBorder="1" applyAlignment="1">
      <alignment horizontal="center" vertical="center"/>
    </xf>
    <xf numFmtId="0" fontId="17" fillId="3" borderId="4" xfId="0" applyFont="1" applyFill="1" applyBorder="1" applyAlignment="1">
      <alignment horizontal="left" vertical="center" wrapText="1"/>
    </xf>
    <xf numFmtId="0" fontId="14" fillId="4" borderId="0" xfId="0" applyFont="1" applyFill="1"/>
    <xf numFmtId="0" fontId="20" fillId="2" borderId="5" xfId="0" applyFont="1" applyFill="1" applyBorder="1" applyAlignment="1">
      <alignment horizontal="left"/>
    </xf>
    <xf numFmtId="0" fontId="20" fillId="2" borderId="5" xfId="0" applyFont="1" applyFill="1" applyBorder="1"/>
    <xf numFmtId="0" fontId="14" fillId="2" borderId="5" xfId="0" applyFont="1" applyFill="1" applyBorder="1"/>
    <xf numFmtId="0" fontId="20" fillId="2" borderId="1" xfId="0" applyFont="1" applyFill="1" applyBorder="1" applyAlignment="1">
      <alignment horizontal="left"/>
    </xf>
    <xf numFmtId="0" fontId="20" fillId="2" borderId="1" xfId="0" applyFont="1" applyFill="1" applyBorder="1" applyAlignment="1">
      <alignment horizontal="left" vertical="center" wrapText="1"/>
    </xf>
    <xf numFmtId="0" fontId="14" fillId="5" borderId="10" xfId="0" applyFont="1" applyFill="1" applyBorder="1"/>
    <xf numFmtId="0" fontId="15" fillId="5" borderId="10" xfId="0" applyFont="1" applyFill="1" applyBorder="1" applyAlignment="1">
      <alignment horizontal="left"/>
    </xf>
    <xf numFmtId="9" fontId="22" fillId="11" borderId="10" xfId="0" applyNumberFormat="1" applyFont="1" applyFill="1" applyBorder="1" applyAlignment="1">
      <alignment horizontal="center"/>
    </xf>
    <xf numFmtId="0" fontId="14" fillId="5" borderId="1" xfId="0" applyFont="1" applyFill="1" applyBorder="1"/>
    <xf numFmtId="0" fontId="15" fillId="5" borderId="1" xfId="0" applyFont="1" applyFill="1" applyBorder="1" applyAlignment="1">
      <alignment horizontal="left"/>
    </xf>
    <xf numFmtId="9" fontId="22" fillId="11" borderId="1" xfId="0" applyNumberFormat="1" applyFont="1" applyFill="1" applyBorder="1" applyAlignment="1">
      <alignment horizontal="center"/>
    </xf>
    <xf numFmtId="0" fontId="17" fillId="3" borderId="1" xfId="0" applyFont="1" applyFill="1" applyBorder="1"/>
    <xf numFmtId="0" fontId="17" fillId="3" borderId="1" xfId="0" applyFont="1" applyFill="1" applyBorder="1" applyAlignment="1">
      <alignment horizontal="left"/>
    </xf>
    <xf numFmtId="0" fontId="14" fillId="3" borderId="1" xfId="0" applyFont="1" applyFill="1" applyBorder="1"/>
    <xf numFmtId="0" fontId="17" fillId="4" borderId="0" xfId="0" applyFont="1" applyFill="1"/>
    <xf numFmtId="0" fontId="17" fillId="4" borderId="0" xfId="0" applyFont="1" applyFill="1" applyAlignment="1">
      <alignment horizontal="left"/>
    </xf>
    <xf numFmtId="0" fontId="20" fillId="2" borderId="3" xfId="0" applyFont="1" applyFill="1" applyBorder="1" applyAlignment="1">
      <alignment horizontal="center"/>
    </xf>
    <xf numFmtId="0" fontId="20" fillId="8" borderId="3" xfId="0" applyFont="1" applyFill="1" applyBorder="1" applyAlignment="1">
      <alignment horizontal="left"/>
    </xf>
    <xf numFmtId="0" fontId="20" fillId="8" borderId="6" xfId="0" applyFont="1" applyFill="1" applyBorder="1" applyAlignment="1">
      <alignment horizontal="left"/>
    </xf>
    <xf numFmtId="0" fontId="20" fillId="8" borderId="1" xfId="0" applyFont="1" applyFill="1" applyBorder="1" applyAlignment="1">
      <alignment horizontal="center"/>
    </xf>
    <xf numFmtId="0" fontId="15" fillId="5" borderId="1" xfId="0" applyFont="1" applyFill="1" applyBorder="1"/>
    <xf numFmtId="3" fontId="15" fillId="5" borderId="1" xfId="0" applyNumberFormat="1" applyFont="1" applyFill="1" applyBorder="1" applyAlignment="1">
      <alignment horizontal="center"/>
    </xf>
    <xf numFmtId="0" fontId="23" fillId="5" borderId="1" xfId="0" applyFont="1" applyFill="1" applyBorder="1" applyAlignment="1">
      <alignment horizontal="center"/>
    </xf>
    <xf numFmtId="0" fontId="27" fillId="12" borderId="1" xfId="0" applyFont="1" applyFill="1" applyBorder="1"/>
    <xf numFmtId="164" fontId="15" fillId="5" borderId="1" xfId="0" applyNumberFormat="1" applyFont="1" applyFill="1" applyBorder="1" applyAlignment="1">
      <alignment horizontal="center"/>
    </xf>
    <xf numFmtId="0" fontId="14" fillId="0" borderId="1" xfId="0" applyFont="1" applyBorder="1"/>
    <xf numFmtId="0" fontId="27" fillId="13" borderId="0" xfId="0" applyFont="1" applyFill="1"/>
    <xf numFmtId="0" fontId="27" fillId="13" borderId="1" xfId="0" applyFont="1" applyFill="1" applyBorder="1"/>
    <xf numFmtId="0" fontId="28" fillId="8" borderId="3" xfId="0" applyFont="1" applyFill="1" applyBorder="1" applyAlignment="1">
      <alignment horizontal="left"/>
    </xf>
    <xf numFmtId="0" fontId="15" fillId="5" borderId="1" xfId="0" applyFont="1" applyFill="1" applyBorder="1" applyAlignment="1">
      <alignment horizontal="center"/>
    </xf>
    <xf numFmtId="0" fontId="24" fillId="5" borderId="1" xfId="0" applyFont="1" applyFill="1" applyBorder="1"/>
    <xf numFmtId="0" fontId="24" fillId="5" borderId="1" xfId="0" applyFont="1" applyFill="1" applyBorder="1" applyAlignment="1">
      <alignment horizontal="center"/>
    </xf>
    <xf numFmtId="164" fontId="24" fillId="5" borderId="1" xfId="0" applyNumberFormat="1" applyFont="1" applyFill="1" applyBorder="1" applyAlignment="1">
      <alignment horizontal="center"/>
    </xf>
    <xf numFmtId="0" fontId="24" fillId="5" borderId="5" xfId="0" applyFont="1" applyFill="1" applyBorder="1"/>
    <xf numFmtId="3" fontId="24" fillId="5" borderId="5" xfId="0" applyNumberFormat="1" applyFont="1" applyFill="1" applyBorder="1" applyAlignment="1">
      <alignment horizontal="center"/>
    </xf>
    <xf numFmtId="0" fontId="23" fillId="5" borderId="5" xfId="0" applyFont="1" applyFill="1" applyBorder="1" applyAlignment="1">
      <alignment horizontal="center"/>
    </xf>
    <xf numFmtId="0" fontId="20" fillId="2" borderId="0" xfId="0" applyFont="1" applyFill="1"/>
    <xf numFmtId="0" fontId="14" fillId="2" borderId="0" xfId="0" applyFont="1" applyFill="1"/>
    <xf numFmtId="0" fontId="29" fillId="5" borderId="0" xfId="0" applyFont="1" applyFill="1"/>
    <xf numFmtId="0" fontId="17" fillId="0" borderId="0" xfId="0" applyFont="1"/>
    <xf numFmtId="0" fontId="14" fillId="0" borderId="0" xfId="0" applyFont="1" applyAlignment="1">
      <alignment vertical="center"/>
    </xf>
    <xf numFmtId="0" fontId="20" fillId="8" borderId="1" xfId="0" applyFont="1" applyFill="1" applyBorder="1" applyAlignment="1">
      <alignment horizontal="center" vertical="center"/>
    </xf>
    <xf numFmtId="165" fontId="29" fillId="13" borderId="1" xfId="0" applyNumberFormat="1" applyFont="1" applyFill="1" applyBorder="1" applyAlignment="1">
      <alignment horizontal="center" vertical="center"/>
    </xf>
    <xf numFmtId="164" fontId="29" fillId="13" borderId="1" xfId="0" applyNumberFormat="1" applyFont="1" applyFill="1" applyBorder="1" applyAlignment="1">
      <alignment horizontal="center" vertical="center"/>
    </xf>
    <xf numFmtId="166" fontId="29" fillId="13" borderId="1" xfId="0" applyNumberFormat="1" applyFont="1" applyFill="1" applyBorder="1" applyAlignment="1">
      <alignment horizontal="center" vertical="center"/>
    </xf>
    <xf numFmtId="0" fontId="30" fillId="4" borderId="1" xfId="0" applyFont="1" applyFill="1" applyBorder="1" applyAlignment="1">
      <alignment horizontal="center" vertical="center" wrapText="1"/>
    </xf>
    <xf numFmtId="0" fontId="24" fillId="14" borderId="1" xfId="0" applyFont="1" applyFill="1" applyBorder="1" applyAlignment="1">
      <alignment horizontal="left" vertical="center" wrapText="1"/>
    </xf>
    <xf numFmtId="165" fontId="15" fillId="13" borderId="1" xfId="0" applyNumberFormat="1" applyFont="1" applyFill="1" applyBorder="1" applyAlignment="1">
      <alignment horizontal="center" vertical="center"/>
    </xf>
    <xf numFmtId="165" fontId="15" fillId="5" borderId="1" xfId="0" applyNumberFormat="1" applyFont="1" applyFill="1" applyBorder="1" applyAlignment="1">
      <alignment horizontal="center" vertical="center"/>
    </xf>
    <xf numFmtId="164" fontId="15" fillId="5" borderId="1" xfId="0" applyNumberFormat="1" applyFont="1" applyFill="1" applyBorder="1" applyAlignment="1">
      <alignment horizontal="center" vertical="center"/>
    </xf>
    <xf numFmtId="0" fontId="15" fillId="3" borderId="1" xfId="0" applyFont="1" applyFill="1" applyBorder="1" applyAlignment="1">
      <alignment horizontal="left" vertical="center" wrapText="1"/>
    </xf>
    <xf numFmtId="0" fontId="20" fillId="2" borderId="4" xfId="0" applyFont="1" applyFill="1" applyBorder="1" applyAlignment="1">
      <alignment vertical="center"/>
    </xf>
    <xf numFmtId="0" fontId="31" fillId="2" borderId="5" xfId="0" applyFont="1" applyFill="1" applyBorder="1" applyAlignment="1">
      <alignment vertical="center"/>
    </xf>
    <xf numFmtId="0" fontId="20" fillId="2" borderId="6" xfId="0" applyFont="1" applyFill="1" applyBorder="1" applyAlignment="1">
      <alignment vertical="center"/>
    </xf>
    <xf numFmtId="0" fontId="20" fillId="2" borderId="11" xfId="0" applyFont="1" applyFill="1" applyBorder="1" applyAlignment="1">
      <alignment vertical="center"/>
    </xf>
    <xf numFmtId="0" fontId="15" fillId="5" borderId="2" xfId="0" applyFont="1" applyFill="1" applyBorder="1" applyAlignment="1">
      <alignment horizontal="left" vertical="center"/>
    </xf>
    <xf numFmtId="167" fontId="29" fillId="13" borderId="6" xfId="0" applyNumberFormat="1" applyFont="1" applyFill="1" applyBorder="1" applyAlignment="1">
      <alignment horizontal="center" vertical="center"/>
    </xf>
    <xf numFmtId="0" fontId="23" fillId="4" borderId="12" xfId="0" applyFont="1" applyFill="1" applyBorder="1" applyAlignment="1">
      <alignment horizontal="center" vertical="center"/>
    </xf>
    <xf numFmtId="1" fontId="29" fillId="13" borderId="6" xfId="0" applyNumberFormat="1" applyFont="1" applyFill="1" applyBorder="1" applyAlignment="1">
      <alignment horizontal="center" vertical="center"/>
    </xf>
    <xf numFmtId="0" fontId="29" fillId="13" borderId="6" xfId="0" applyFont="1" applyFill="1" applyBorder="1" applyAlignment="1">
      <alignment horizontal="center" vertical="center"/>
    </xf>
    <xf numFmtId="0" fontId="23" fillId="4" borderId="12" xfId="0" applyFont="1" applyFill="1" applyBorder="1" applyAlignment="1">
      <alignment vertical="center"/>
    </xf>
    <xf numFmtId="0" fontId="15" fillId="5" borderId="4" xfId="0" applyFont="1" applyFill="1" applyBorder="1" applyAlignment="1">
      <alignment horizontal="left" vertical="center"/>
    </xf>
    <xf numFmtId="0" fontId="29" fillId="13" borderId="3" xfId="0" applyFont="1" applyFill="1" applyBorder="1" applyAlignment="1">
      <alignment horizontal="center" vertical="center"/>
    </xf>
    <xf numFmtId="0" fontId="23" fillId="4" borderId="11" xfId="0" applyFont="1" applyFill="1" applyBorder="1" applyAlignment="1">
      <alignment vertical="center"/>
    </xf>
    <xf numFmtId="0" fontId="18" fillId="2" borderId="4" xfId="0" applyFont="1" applyFill="1" applyBorder="1" applyAlignment="1">
      <alignment vertical="center"/>
    </xf>
    <xf numFmtId="0" fontId="18" fillId="2" borderId="6" xfId="0" applyFont="1" applyFill="1" applyBorder="1" applyAlignment="1">
      <alignment vertical="center"/>
    </xf>
    <xf numFmtId="0" fontId="18" fillId="2" borderId="3" xfId="0" applyFont="1" applyFill="1" applyBorder="1" applyAlignment="1">
      <alignment vertical="center"/>
    </xf>
    <xf numFmtId="0" fontId="18" fillId="2" borderId="11" xfId="0" applyFont="1" applyFill="1" applyBorder="1" applyAlignment="1">
      <alignment vertical="center"/>
    </xf>
    <xf numFmtId="0" fontId="15" fillId="5" borderId="5" xfId="0" applyFont="1" applyFill="1" applyBorder="1" applyAlignment="1">
      <alignment horizontal="left" vertical="center"/>
    </xf>
    <xf numFmtId="0" fontId="15" fillId="5" borderId="1" xfId="0" applyFont="1" applyFill="1" applyBorder="1" applyAlignment="1">
      <alignment horizontal="left" vertical="center"/>
    </xf>
    <xf numFmtId="0" fontId="34" fillId="4" borderId="0" xfId="0" applyFont="1" applyFill="1" applyAlignment="1">
      <alignment vertical="center"/>
    </xf>
    <xf numFmtId="0" fontId="17" fillId="5" borderId="1" xfId="0" applyFont="1" applyFill="1" applyBorder="1" applyAlignment="1">
      <alignment horizontal="left" vertical="center" wrapText="1"/>
    </xf>
    <xf numFmtId="3" fontId="15" fillId="5" borderId="1" xfId="0" applyNumberFormat="1" applyFont="1" applyFill="1" applyBorder="1" applyAlignment="1">
      <alignment horizontal="center" vertical="center"/>
    </xf>
    <xf numFmtId="2" fontId="15" fillId="5" borderId="1" xfId="0" applyNumberFormat="1" applyFont="1" applyFill="1" applyBorder="1" applyAlignment="1">
      <alignment horizontal="center" vertical="center"/>
    </xf>
    <xf numFmtId="168" fontId="15" fillId="5" borderId="1" xfId="0" applyNumberFormat="1" applyFont="1" applyFill="1" applyBorder="1" applyAlignment="1">
      <alignment horizontal="center" vertical="center"/>
    </xf>
    <xf numFmtId="3" fontId="15" fillId="0" borderId="1" xfId="0" applyNumberFormat="1" applyFont="1" applyBorder="1" applyAlignment="1">
      <alignment horizontal="right" vertical="center"/>
    </xf>
    <xf numFmtId="167" fontId="15" fillId="0" borderId="1" xfId="0" applyNumberFormat="1" applyFont="1" applyBorder="1" applyAlignment="1">
      <alignment horizontal="right" vertical="center"/>
    </xf>
    <xf numFmtId="0" fontId="35" fillId="14" borderId="1" xfId="0" applyFont="1" applyFill="1" applyBorder="1" applyAlignment="1">
      <alignment horizontal="left" vertical="center" wrapText="1"/>
    </xf>
    <xf numFmtId="165" fontId="21" fillId="14" borderId="1" xfId="0" applyNumberFormat="1" applyFont="1" applyFill="1" applyBorder="1" applyAlignment="1">
      <alignment horizontal="right" vertical="center"/>
    </xf>
    <xf numFmtId="165" fontId="15" fillId="0" borderId="1" xfId="0" applyNumberFormat="1" applyFont="1" applyBorder="1" applyAlignment="1">
      <alignment horizontal="right" vertical="center"/>
    </xf>
    <xf numFmtId="0" fontId="35" fillId="14" borderId="5" xfId="0" applyFont="1" applyFill="1" applyBorder="1" applyAlignment="1">
      <alignment horizontal="left" vertical="center" wrapText="1"/>
    </xf>
    <xf numFmtId="165" fontId="21" fillId="14" borderId="5" xfId="0" applyNumberFormat="1" applyFont="1" applyFill="1" applyBorder="1" applyAlignment="1">
      <alignment horizontal="right" vertical="center"/>
    </xf>
    <xf numFmtId="0" fontId="18" fillId="2" borderId="4" xfId="0" applyFont="1" applyFill="1" applyBorder="1" applyAlignment="1">
      <alignment horizontal="left" vertical="center"/>
    </xf>
    <xf numFmtId="0" fontId="15" fillId="5" borderId="4" xfId="0" applyFont="1" applyFill="1" applyBorder="1" applyAlignment="1">
      <alignment horizontal="left" vertical="center" wrapText="1"/>
    </xf>
    <xf numFmtId="165" fontId="15" fillId="12" borderId="4" xfId="0" applyNumberFormat="1" applyFont="1" applyFill="1" applyBorder="1" applyAlignment="1">
      <alignment horizontal="right"/>
    </xf>
    <xf numFmtId="165" fontId="15" fillId="12" borderId="3" xfId="0" applyNumberFormat="1" applyFont="1" applyFill="1" applyBorder="1" applyAlignment="1">
      <alignment horizontal="right"/>
    </xf>
    <xf numFmtId="165" fontId="15" fillId="12" borderId="11" xfId="0" applyNumberFormat="1" applyFont="1" applyFill="1" applyBorder="1" applyAlignment="1">
      <alignment horizontal="right"/>
    </xf>
    <xf numFmtId="165" fontId="15" fillId="4" borderId="10" xfId="0" applyNumberFormat="1" applyFont="1" applyFill="1" applyBorder="1" applyAlignment="1">
      <alignment horizontal="right" vertical="center"/>
    </xf>
    <xf numFmtId="165" fontId="15" fillId="4" borderId="1" xfId="0" applyNumberFormat="1" applyFont="1" applyFill="1" applyBorder="1" applyAlignment="1">
      <alignment horizontal="right" vertical="center"/>
    </xf>
    <xf numFmtId="0" fontId="24" fillId="13" borderId="1" xfId="0" applyFont="1" applyFill="1" applyBorder="1" applyAlignment="1">
      <alignment horizontal="left" vertical="center" wrapText="1"/>
    </xf>
    <xf numFmtId="165" fontId="24" fillId="13" borderId="5" xfId="0" applyNumberFormat="1" applyFont="1" applyFill="1" applyBorder="1" applyAlignment="1">
      <alignment horizontal="right" vertical="center"/>
    </xf>
    <xf numFmtId="165" fontId="15" fillId="4" borderId="2" xfId="0" applyNumberFormat="1" applyFont="1" applyFill="1" applyBorder="1" applyAlignment="1">
      <alignment horizontal="right" vertical="center"/>
    </xf>
    <xf numFmtId="165" fontId="15" fillId="4" borderId="6" xfId="0" applyNumberFormat="1" applyFont="1" applyFill="1" applyBorder="1" applyAlignment="1">
      <alignment horizontal="right"/>
    </xf>
    <xf numFmtId="165" fontId="15" fillId="4" borderId="12" xfId="0" applyNumberFormat="1" applyFont="1" applyFill="1" applyBorder="1" applyAlignment="1">
      <alignment horizontal="right"/>
    </xf>
    <xf numFmtId="165" fontId="15" fillId="4" borderId="4" xfId="0" applyNumberFormat="1" applyFont="1" applyFill="1" applyBorder="1" applyAlignment="1">
      <alignment horizontal="right" vertical="center"/>
    </xf>
    <xf numFmtId="165" fontId="15" fillId="4" borderId="3" xfId="0" applyNumberFormat="1" applyFont="1" applyFill="1" applyBorder="1" applyAlignment="1">
      <alignment horizontal="right"/>
    </xf>
    <xf numFmtId="165" fontId="15" fillId="4" borderId="11" xfId="0" applyNumberFormat="1" applyFont="1" applyFill="1" applyBorder="1" applyAlignment="1">
      <alignment horizontal="right"/>
    </xf>
    <xf numFmtId="0" fontId="24" fillId="14" borderId="4" xfId="0" applyFont="1" applyFill="1" applyBorder="1" applyAlignment="1">
      <alignment horizontal="left" vertical="center" wrapText="1"/>
    </xf>
    <xf numFmtId="165" fontId="15" fillId="14" borderId="10" xfId="0" applyNumberFormat="1" applyFont="1" applyFill="1" applyBorder="1" applyAlignment="1">
      <alignment horizontal="right" vertical="center"/>
    </xf>
    <xf numFmtId="165" fontId="15" fillId="14" borderId="1" xfId="0" applyNumberFormat="1" applyFont="1" applyFill="1" applyBorder="1" applyAlignment="1">
      <alignment horizontal="right" vertical="center"/>
    </xf>
    <xf numFmtId="0" fontId="24" fillId="5" borderId="4" xfId="0" applyFont="1" applyFill="1" applyBorder="1" applyAlignment="1">
      <alignment horizontal="left" vertical="center" wrapText="1"/>
    </xf>
    <xf numFmtId="0" fontId="24" fillId="5" borderId="1" xfId="0" applyFont="1" applyFill="1" applyBorder="1" applyAlignment="1">
      <alignment horizontal="left" vertical="center" wrapText="1"/>
    </xf>
    <xf numFmtId="165" fontId="15" fillId="4" borderId="5" xfId="0" applyNumberFormat="1" applyFont="1" applyFill="1" applyBorder="1" applyAlignment="1">
      <alignment horizontal="right" vertical="center"/>
    </xf>
    <xf numFmtId="0" fontId="36" fillId="13" borderId="4" xfId="0" applyFont="1" applyFill="1" applyBorder="1" applyAlignment="1">
      <alignment horizontal="left" vertical="center" wrapText="1"/>
    </xf>
    <xf numFmtId="0" fontId="36" fillId="13" borderId="1" xfId="0" applyFont="1" applyFill="1" applyBorder="1" applyAlignment="1">
      <alignment horizontal="left" vertical="center" wrapText="1"/>
    </xf>
    <xf numFmtId="165" fontId="35" fillId="13" borderId="1" xfId="0" applyNumberFormat="1" applyFont="1" applyFill="1" applyBorder="1" applyAlignment="1">
      <alignment horizontal="right" vertical="center"/>
    </xf>
    <xf numFmtId="164" fontId="15" fillId="0" borderId="1" xfId="0" applyNumberFormat="1" applyFont="1" applyBorder="1" applyAlignment="1">
      <alignment horizontal="right" vertical="center"/>
    </xf>
    <xf numFmtId="165" fontId="18" fillId="8" borderId="1" xfId="0" applyNumberFormat="1" applyFont="1" applyFill="1" applyBorder="1" applyAlignment="1">
      <alignment horizontal="center" vertical="center"/>
    </xf>
    <xf numFmtId="165" fontId="15" fillId="15" borderId="1" xfId="0" applyNumberFormat="1" applyFont="1" applyFill="1" applyBorder="1" applyAlignment="1">
      <alignment horizontal="right" vertical="center"/>
    </xf>
    <xf numFmtId="165" fontId="24" fillId="14" borderId="1" xfId="0" applyNumberFormat="1" applyFont="1" applyFill="1" applyBorder="1" applyAlignment="1">
      <alignment horizontal="right" vertical="center"/>
    </xf>
    <xf numFmtId="165" fontId="15" fillId="5" borderId="1" xfId="0" applyNumberFormat="1" applyFont="1" applyFill="1" applyBorder="1" applyAlignment="1">
      <alignment horizontal="left" vertical="center" wrapText="1"/>
    </xf>
    <xf numFmtId="165" fontId="15" fillId="12" borderId="1" xfId="0" applyNumberFormat="1" applyFont="1" applyFill="1" applyBorder="1" applyAlignment="1">
      <alignment horizontal="right" vertical="center"/>
    </xf>
    <xf numFmtId="0" fontId="17" fillId="3" borderId="0" xfId="0" applyFont="1" applyFill="1" applyAlignment="1">
      <alignment horizontal="left" vertical="center" wrapText="1"/>
    </xf>
    <xf numFmtId="165" fontId="35" fillId="14" borderId="1" xfId="0" applyNumberFormat="1" applyFont="1" applyFill="1" applyBorder="1" applyAlignment="1">
      <alignment horizontal="left" vertical="center" wrapText="1"/>
    </xf>
    <xf numFmtId="165" fontId="35" fillId="14" borderId="1" xfId="0" applyNumberFormat="1" applyFont="1" applyFill="1" applyBorder="1" applyAlignment="1">
      <alignment horizontal="right" vertical="center"/>
    </xf>
    <xf numFmtId="0" fontId="37" fillId="2" borderId="1" xfId="0" applyFont="1" applyFill="1" applyBorder="1" applyAlignment="1">
      <alignment horizontal="left" vertical="center"/>
    </xf>
    <xf numFmtId="165" fontId="29" fillId="13" borderId="1" xfId="0" applyNumberFormat="1" applyFont="1" applyFill="1" applyBorder="1" applyAlignment="1">
      <alignment horizontal="right" vertical="center"/>
    </xf>
    <xf numFmtId="0" fontId="38" fillId="3" borderId="0" xfId="0" applyFont="1" applyFill="1" applyAlignment="1">
      <alignment horizontal="left" vertical="center" wrapText="1"/>
    </xf>
    <xf numFmtId="3" fontId="17" fillId="3" borderId="0" xfId="0" applyNumberFormat="1" applyFont="1" applyFill="1" applyAlignment="1">
      <alignment horizontal="left" vertical="center" wrapText="1"/>
    </xf>
    <xf numFmtId="3" fontId="39" fillId="3" borderId="0" xfId="0" applyNumberFormat="1" applyFont="1" applyFill="1" applyAlignment="1">
      <alignment horizontal="right" vertical="center" wrapText="1"/>
    </xf>
    <xf numFmtId="3" fontId="17" fillId="3" borderId="0" xfId="0" applyNumberFormat="1" applyFont="1" applyFill="1" applyAlignment="1">
      <alignment horizontal="right" vertical="center" wrapText="1"/>
    </xf>
    <xf numFmtId="0" fontId="19" fillId="0" borderId="1" xfId="0" applyFont="1" applyBorder="1" applyAlignment="1">
      <alignment horizontal="left" vertical="center" wrapText="1"/>
    </xf>
    <xf numFmtId="0" fontId="40" fillId="2" borderId="0" xfId="0" applyFont="1" applyFill="1"/>
    <xf numFmtId="1" fontId="15" fillId="5" borderId="1" xfId="0" applyNumberFormat="1" applyFont="1" applyFill="1" applyBorder="1" applyAlignment="1">
      <alignment horizontal="center"/>
    </xf>
    <xf numFmtId="167" fontId="15" fillId="4" borderId="1" xfId="0" applyNumberFormat="1" applyFont="1" applyFill="1" applyBorder="1" applyAlignment="1">
      <alignment horizontal="right"/>
    </xf>
    <xf numFmtId="167" fontId="15" fillId="5" borderId="1" xfId="0" applyNumberFormat="1" applyFont="1" applyFill="1" applyBorder="1" applyAlignment="1">
      <alignment horizontal="right"/>
    </xf>
    <xf numFmtId="165" fontId="21" fillId="5" borderId="1" xfId="0" applyNumberFormat="1" applyFont="1" applyFill="1" applyBorder="1" applyAlignment="1">
      <alignment horizontal="left" vertical="center" wrapText="1"/>
    </xf>
    <xf numFmtId="165" fontId="21" fillId="0" borderId="1" xfId="0" applyNumberFormat="1" applyFont="1" applyBorder="1" applyAlignment="1">
      <alignment horizontal="right" vertical="center"/>
    </xf>
    <xf numFmtId="3" fontId="15" fillId="12" borderId="1" xfId="0" applyNumberFormat="1" applyFont="1" applyFill="1" applyBorder="1" applyAlignment="1">
      <alignment horizontal="right" vertical="center"/>
    </xf>
    <xf numFmtId="0" fontId="41" fillId="3" borderId="0" xfId="0" applyFont="1" applyFill="1" applyAlignment="1">
      <alignment horizontal="left" vertical="center" wrapText="1"/>
    </xf>
    <xf numFmtId="165" fontId="36" fillId="14" borderId="1" xfId="0" applyNumberFormat="1" applyFont="1" applyFill="1" applyBorder="1" applyAlignment="1">
      <alignment horizontal="left" vertical="center" wrapText="1"/>
    </xf>
    <xf numFmtId="165" fontId="36" fillId="14" borderId="1" xfId="0" applyNumberFormat="1" applyFont="1" applyFill="1" applyBorder="1" applyAlignment="1">
      <alignment horizontal="right" vertical="center"/>
    </xf>
    <xf numFmtId="165" fontId="11" fillId="0" borderId="0" xfId="0" applyNumberFormat="1" applyFont="1"/>
    <xf numFmtId="165" fontId="24" fillId="0" borderId="1" xfId="0" applyNumberFormat="1" applyFont="1" applyBorder="1" applyAlignment="1">
      <alignment horizontal="left" vertical="center" wrapText="1"/>
    </xf>
    <xf numFmtId="0" fontId="35" fillId="5" borderId="1" xfId="0" applyFont="1" applyFill="1" applyBorder="1" applyAlignment="1">
      <alignment horizontal="left" vertical="center" wrapText="1"/>
    </xf>
    <xf numFmtId="165" fontId="21" fillId="0" borderId="1" xfId="0" applyNumberFormat="1" applyFont="1" applyBorder="1" applyAlignment="1">
      <alignment horizontal="center" vertical="center"/>
    </xf>
    <xf numFmtId="165" fontId="21" fillId="14" borderId="1" xfId="0" applyNumberFormat="1" applyFont="1" applyFill="1" applyBorder="1" applyAlignment="1">
      <alignment horizontal="center" vertical="center"/>
    </xf>
    <xf numFmtId="0" fontId="29" fillId="14" borderId="1" xfId="0" applyFont="1" applyFill="1" applyBorder="1" applyAlignment="1">
      <alignment horizontal="left" vertical="center" wrapText="1"/>
    </xf>
    <xf numFmtId="167" fontId="15" fillId="4" borderId="1" xfId="0" applyNumberFormat="1" applyFont="1" applyFill="1" applyBorder="1" applyAlignment="1">
      <alignment horizontal="center" vertical="center"/>
    </xf>
    <xf numFmtId="0" fontId="15" fillId="3" borderId="4" xfId="0" applyFont="1" applyFill="1" applyBorder="1" applyAlignment="1">
      <alignment horizontal="left" vertical="center" wrapText="1"/>
    </xf>
    <xf numFmtId="0" fontId="0" fillId="0" borderId="0" xfId="0" applyAlignment="1">
      <alignment vertical="center"/>
    </xf>
    <xf numFmtId="0" fontId="42" fillId="16" borderId="0" xfId="0" applyFont="1" applyFill="1"/>
    <xf numFmtId="3" fontId="15" fillId="4" borderId="1" xfId="0" applyNumberFormat="1" applyFont="1" applyFill="1" applyBorder="1" applyAlignment="1">
      <alignment horizontal="center"/>
    </xf>
    <xf numFmtId="0" fontId="24" fillId="4" borderId="1" xfId="0" applyFont="1" applyFill="1" applyBorder="1" applyAlignment="1">
      <alignment horizontal="center"/>
    </xf>
    <xf numFmtId="0" fontId="43" fillId="0" borderId="0" xfId="0" applyFont="1"/>
    <xf numFmtId="0" fontId="15" fillId="4" borderId="1" xfId="0" applyFont="1" applyFill="1" applyBorder="1" applyAlignment="1">
      <alignment horizontal="center"/>
    </xf>
    <xf numFmtId="164" fontId="15" fillId="4" borderId="1" xfId="0" applyNumberFormat="1" applyFont="1" applyFill="1" applyBorder="1" applyAlignment="1">
      <alignment horizontal="center"/>
    </xf>
    <xf numFmtId="2" fontId="15" fillId="4" borderId="1" xfId="0" applyNumberFormat="1" applyFont="1" applyFill="1" applyBorder="1" applyAlignment="1">
      <alignment horizontal="center"/>
    </xf>
    <xf numFmtId="9" fontId="15" fillId="4" borderId="1" xfId="0" applyNumberFormat="1" applyFont="1" applyFill="1" applyBorder="1" applyAlignment="1">
      <alignment horizontal="center"/>
    </xf>
    <xf numFmtId="166" fontId="15" fillId="4" borderId="1" xfId="0" applyNumberFormat="1" applyFont="1" applyFill="1" applyBorder="1" applyAlignment="1">
      <alignment horizontal="center"/>
    </xf>
    <xf numFmtId="0" fontId="25" fillId="0" borderId="6" xfId="0" applyFont="1" applyBorder="1"/>
    <xf numFmtId="0" fontId="25" fillId="0" borderId="12" xfId="0" applyFont="1" applyBorder="1"/>
    <xf numFmtId="0" fontId="17" fillId="0" borderId="3" xfId="0" applyFont="1" applyBorder="1"/>
    <xf numFmtId="0" fontId="20" fillId="2" borderId="4" xfId="0" applyFont="1" applyFill="1" applyBorder="1" applyAlignment="1">
      <alignment horizontal="left"/>
    </xf>
    <xf numFmtId="0" fontId="20" fillId="2" borderId="11" xfId="0" applyFont="1" applyFill="1" applyBorder="1" applyAlignment="1">
      <alignment horizontal="center"/>
    </xf>
    <xf numFmtId="0" fontId="44" fillId="4" borderId="0" xfId="0" applyFont="1" applyFill="1"/>
    <xf numFmtId="9" fontId="15" fillId="12" borderId="1" xfId="0" applyNumberFormat="1" applyFont="1" applyFill="1" applyBorder="1" applyAlignment="1">
      <alignment horizontal="center"/>
    </xf>
    <xf numFmtId="9" fontId="46" fillId="11" borderId="1" xfId="0" applyNumberFormat="1" applyFont="1" applyFill="1" applyBorder="1" applyAlignment="1">
      <alignment horizontal="center"/>
    </xf>
    <xf numFmtId="0" fontId="26" fillId="0" borderId="0" xfId="0" applyFont="1"/>
    <xf numFmtId="169" fontId="15" fillId="12" borderId="1" xfId="0" applyNumberFormat="1" applyFont="1" applyFill="1" applyBorder="1" applyAlignment="1">
      <alignment horizontal="center"/>
    </xf>
    <xf numFmtId="0" fontId="20" fillId="2" borderId="2" xfId="0" applyFont="1" applyFill="1" applyBorder="1" applyAlignment="1">
      <alignment horizontal="left"/>
    </xf>
    <xf numFmtId="0" fontId="20" fillId="2" borderId="6" xfId="0" applyFont="1" applyFill="1" applyBorder="1" applyAlignment="1">
      <alignment horizontal="left"/>
    </xf>
    <xf numFmtId="0" fontId="20" fillId="2" borderId="12" xfId="0" applyFont="1" applyFill="1" applyBorder="1" applyAlignment="1">
      <alignment horizontal="left"/>
    </xf>
    <xf numFmtId="0" fontId="15" fillId="12" borderId="1" xfId="0" applyFont="1" applyFill="1" applyBorder="1" applyAlignment="1">
      <alignment horizontal="center"/>
    </xf>
    <xf numFmtId="0" fontId="15" fillId="0" borderId="1" xfId="0" applyFont="1" applyBorder="1" applyAlignment="1">
      <alignment horizontal="center"/>
    </xf>
    <xf numFmtId="3" fontId="15" fillId="12" borderId="1" xfId="0" applyNumberFormat="1" applyFont="1" applyFill="1" applyBorder="1" applyAlignment="1">
      <alignment horizontal="center"/>
    </xf>
    <xf numFmtId="164" fontId="15" fillId="12" borderId="1" xfId="0" applyNumberFormat="1" applyFont="1" applyFill="1" applyBorder="1" applyAlignment="1">
      <alignment horizontal="center"/>
    </xf>
    <xf numFmtId="164" fontId="15" fillId="0" borderId="1" xfId="0" applyNumberFormat="1" applyFont="1" applyBorder="1" applyAlignment="1">
      <alignment horizontal="center"/>
    </xf>
    <xf numFmtId="3" fontId="15" fillId="0" borderId="1" xfId="0" applyNumberFormat="1" applyFont="1" applyBorder="1" applyAlignment="1">
      <alignment horizontal="center"/>
    </xf>
    <xf numFmtId="0" fontId="14" fillId="0" borderId="0" xfId="0" applyFont="1" applyAlignment="1">
      <alignment horizontal="center"/>
    </xf>
    <xf numFmtId="0" fontId="20" fillId="2" borderId="6" xfId="0" applyFont="1" applyFill="1" applyBorder="1" applyAlignment="1">
      <alignment horizontal="center"/>
    </xf>
    <xf numFmtId="0" fontId="20" fillId="2" borderId="12" xfId="0" applyFont="1" applyFill="1" applyBorder="1" applyAlignment="1">
      <alignment horizontal="center"/>
    </xf>
    <xf numFmtId="0" fontId="24" fillId="17" borderId="1" xfId="0" applyFont="1" applyFill="1" applyBorder="1"/>
    <xf numFmtId="170" fontId="27" fillId="17" borderId="1" xfId="0" applyNumberFormat="1" applyFont="1" applyFill="1" applyBorder="1" applyAlignment="1">
      <alignment horizontal="center"/>
    </xf>
    <xf numFmtId="0" fontId="15" fillId="4" borderId="5" xfId="0" applyFont="1" applyFill="1" applyBorder="1"/>
    <xf numFmtId="170" fontId="14" fillId="4" borderId="5" xfId="0" applyNumberFormat="1" applyFont="1" applyFill="1" applyBorder="1" applyAlignment="1">
      <alignment horizontal="center"/>
    </xf>
    <xf numFmtId="0" fontId="15" fillId="4" borderId="13" xfId="0" applyFont="1" applyFill="1" applyBorder="1"/>
    <xf numFmtId="170" fontId="14" fillId="4" borderId="13" xfId="0" applyNumberFormat="1" applyFont="1" applyFill="1" applyBorder="1" applyAlignment="1">
      <alignment horizontal="center"/>
    </xf>
    <xf numFmtId="0" fontId="24" fillId="17" borderId="10" xfId="0" applyFont="1" applyFill="1" applyBorder="1"/>
    <xf numFmtId="170" fontId="27" fillId="17" borderId="10" xfId="0" applyNumberFormat="1" applyFont="1" applyFill="1" applyBorder="1" applyAlignment="1">
      <alignment horizontal="center"/>
    </xf>
    <xf numFmtId="0" fontId="15" fillId="0" borderId="1" xfId="0" applyFont="1" applyBorder="1"/>
    <xf numFmtId="0" fontId="14" fillId="0" borderId="1" xfId="0" applyFont="1" applyBorder="1" applyAlignment="1">
      <alignment horizontal="center"/>
    </xf>
    <xf numFmtId="0" fontId="15" fillId="4" borderId="1" xfId="0" applyFont="1" applyFill="1" applyBorder="1"/>
    <xf numFmtId="170" fontId="14" fillId="4" borderId="1" xfId="0" applyNumberFormat="1" applyFont="1" applyFill="1" applyBorder="1" applyAlignment="1">
      <alignment horizontal="center"/>
    </xf>
    <xf numFmtId="0" fontId="24" fillId="17" borderId="13" xfId="0" applyFont="1" applyFill="1" applyBorder="1"/>
    <xf numFmtId="170" fontId="27" fillId="17" borderId="13" xfId="0" applyNumberFormat="1" applyFont="1" applyFill="1" applyBorder="1" applyAlignment="1">
      <alignment horizontal="center"/>
    </xf>
    <xf numFmtId="0" fontId="14" fillId="0" borderId="14" xfId="0" applyFont="1" applyBorder="1"/>
    <xf numFmtId="0" fontId="14" fillId="0" borderId="14" xfId="0" applyFont="1" applyBorder="1" applyAlignment="1">
      <alignment horizontal="center"/>
    </xf>
    <xf numFmtId="0" fontId="20" fillId="2" borderId="10" xfId="0" applyFont="1" applyFill="1" applyBorder="1"/>
    <xf numFmtId="170" fontId="20" fillId="2" borderId="10" xfId="0" applyNumberFormat="1" applyFont="1" applyFill="1" applyBorder="1" applyAlignment="1">
      <alignment horizontal="center"/>
    </xf>
    <xf numFmtId="164" fontId="27" fillId="12" borderId="1" xfId="0" applyNumberFormat="1" applyFont="1" applyFill="1" applyBorder="1" applyAlignment="1">
      <alignment horizontal="center"/>
    </xf>
    <xf numFmtId="164" fontId="27" fillId="4" borderId="1" xfId="0" applyNumberFormat="1" applyFont="1" applyFill="1" applyBorder="1" applyAlignment="1">
      <alignment horizontal="center"/>
    </xf>
    <xf numFmtId="0" fontId="27" fillId="12" borderId="1" xfId="0" applyFont="1" applyFill="1" applyBorder="1" applyAlignment="1">
      <alignment horizontal="center"/>
    </xf>
    <xf numFmtId="170" fontId="47" fillId="4" borderId="1" xfId="0" applyNumberFormat="1" applyFont="1" applyFill="1" applyBorder="1" applyAlignment="1">
      <alignment horizontal="center"/>
    </xf>
    <xf numFmtId="164" fontId="47" fillId="4" borderId="1" xfId="0" applyNumberFormat="1" applyFont="1" applyFill="1" applyBorder="1" applyAlignment="1">
      <alignment horizontal="center"/>
    </xf>
    <xf numFmtId="1" fontId="27" fillId="12" borderId="1" xfId="0" applyNumberFormat="1" applyFont="1" applyFill="1" applyBorder="1" applyAlignment="1">
      <alignment horizontal="center"/>
    </xf>
    <xf numFmtId="1" fontId="27" fillId="4" borderId="1" xfId="0" applyNumberFormat="1" applyFont="1" applyFill="1" applyBorder="1" applyAlignment="1">
      <alignment horizontal="center"/>
    </xf>
    <xf numFmtId="0" fontId="20" fillId="2" borderId="3" xfId="0" applyFont="1" applyFill="1" applyBorder="1" applyAlignment="1">
      <alignment horizontal="left"/>
    </xf>
    <xf numFmtId="0" fontId="20" fillId="2" borderId="11" xfId="0" applyFont="1" applyFill="1" applyBorder="1" applyAlignment="1">
      <alignment horizontal="left"/>
    </xf>
    <xf numFmtId="9" fontId="14" fillId="0" borderId="1" xfId="0" applyNumberFormat="1" applyFont="1" applyBorder="1" applyAlignment="1">
      <alignment horizontal="center"/>
    </xf>
    <xf numFmtId="170" fontId="14" fillId="0" borderId="1" xfId="0" applyNumberFormat="1" applyFont="1" applyBorder="1" applyAlignment="1">
      <alignment horizontal="center"/>
    </xf>
    <xf numFmtId="170" fontId="48" fillId="0" borderId="1" xfId="0" applyNumberFormat="1" applyFont="1" applyBorder="1" applyAlignment="1">
      <alignment horizontal="center"/>
    </xf>
    <xf numFmtId="164" fontId="48" fillId="0" borderId="1" xfId="0" applyNumberFormat="1" applyFont="1" applyBorder="1" applyAlignment="1">
      <alignment horizontal="center"/>
    </xf>
    <xf numFmtId="0" fontId="27" fillId="17" borderId="1" xfId="0" applyFont="1" applyFill="1" applyBorder="1" applyAlignment="1">
      <alignment horizontal="center"/>
    </xf>
    <xf numFmtId="0" fontId="28" fillId="8" borderId="1" xfId="0" applyFont="1" applyFill="1" applyBorder="1" applyAlignment="1">
      <alignment horizontal="center"/>
    </xf>
    <xf numFmtId="3" fontId="14" fillId="12" borderId="1" xfId="0" applyNumberFormat="1" applyFont="1" applyFill="1" applyBorder="1" applyAlignment="1">
      <alignment horizontal="center"/>
    </xf>
    <xf numFmtId="0" fontId="26" fillId="4" borderId="1" xfId="0" applyFont="1" applyFill="1" applyBorder="1" applyAlignment="1">
      <alignment horizontal="center"/>
    </xf>
    <xf numFmtId="0" fontId="45" fillId="0" borderId="0" xfId="0" applyFont="1"/>
    <xf numFmtId="164" fontId="14" fillId="12" borderId="1" xfId="0" applyNumberFormat="1" applyFont="1" applyFill="1" applyBorder="1" applyAlignment="1">
      <alignment horizontal="center"/>
    </xf>
    <xf numFmtId="0" fontId="20" fillId="8" borderId="1" xfId="0" applyFont="1" applyFill="1" applyBorder="1"/>
    <xf numFmtId="3" fontId="14" fillId="4" borderId="1" xfId="0" applyNumberFormat="1" applyFont="1" applyFill="1" applyBorder="1" applyAlignment="1">
      <alignment horizontal="center"/>
    </xf>
    <xf numFmtId="0" fontId="49" fillId="12" borderId="1" xfId="0" applyFont="1" applyFill="1" applyBorder="1" applyAlignment="1">
      <alignment horizontal="center"/>
    </xf>
    <xf numFmtId="0" fontId="49" fillId="18" borderId="1" xfId="0" applyFont="1" applyFill="1" applyBorder="1" applyAlignment="1">
      <alignment horizontal="center"/>
    </xf>
    <xf numFmtId="0" fontId="40" fillId="0" borderId="0" xfId="0" applyFont="1"/>
    <xf numFmtId="0" fontId="24" fillId="5" borderId="0" xfId="0" applyFont="1" applyFill="1" applyAlignment="1">
      <alignment horizontal="left"/>
    </xf>
    <xf numFmtId="0" fontId="17" fillId="3" borderId="0" xfId="0" applyFont="1" applyFill="1" applyAlignment="1">
      <alignment horizontal="left"/>
    </xf>
    <xf numFmtId="0" fontId="24" fillId="5" borderId="6" xfId="0" applyFont="1" applyFill="1" applyBorder="1" applyAlignment="1">
      <alignment horizontal="left"/>
    </xf>
    <xf numFmtId="0" fontId="17" fillId="3" borderId="6" xfId="0" applyFont="1" applyFill="1" applyBorder="1" applyAlignment="1">
      <alignment horizontal="left"/>
    </xf>
    <xf numFmtId="0" fontId="24" fillId="5" borderId="3" xfId="0" applyFont="1" applyFill="1" applyBorder="1" applyAlignment="1">
      <alignment horizontal="left"/>
    </xf>
    <xf numFmtId="0" fontId="17" fillId="3" borderId="3" xfId="0" applyFont="1" applyFill="1" applyBorder="1" applyAlignment="1">
      <alignment horizontal="left"/>
    </xf>
    <xf numFmtId="0" fontId="26" fillId="3" borderId="0" xfId="0" applyFont="1" applyFill="1" applyBorder="1" applyAlignment="1">
      <alignment horizontal="left" vertical="center" wrapText="1"/>
    </xf>
    <xf numFmtId="0" fontId="20" fillId="2" borderId="1" xfId="0" applyFont="1" applyFill="1" applyBorder="1" applyAlignment="1">
      <alignment horizontal="left" vertical="center"/>
    </xf>
    <xf numFmtId="0" fontId="17" fillId="4" borderId="0" xfId="0" applyFont="1" applyFill="1" applyBorder="1" applyAlignment="1">
      <alignment horizontal="left" vertical="center" wrapText="1"/>
    </xf>
    <xf numFmtId="0" fontId="20" fillId="8" borderId="9" xfId="0" applyFont="1" applyFill="1" applyBorder="1" applyAlignment="1">
      <alignment horizontal="center" vertical="center"/>
    </xf>
    <xf numFmtId="0" fontId="17" fillId="3" borderId="4" xfId="0" applyFont="1" applyFill="1" applyBorder="1" applyAlignment="1">
      <alignment horizontal="left" vertical="center" wrapText="1"/>
    </xf>
    <xf numFmtId="0" fontId="20" fillId="2" borderId="3" xfId="0" applyFont="1" applyFill="1" applyBorder="1" applyAlignment="1">
      <alignment horizontal="center"/>
    </xf>
    <xf numFmtId="0" fontId="20" fillId="8" borderId="6" xfId="0" applyFont="1" applyFill="1" applyBorder="1" applyAlignment="1">
      <alignment horizontal="center"/>
    </xf>
    <xf numFmtId="0" fontId="20" fillId="8" borderId="7" xfId="0" applyFont="1" applyFill="1" applyBorder="1" applyAlignment="1">
      <alignment horizontal="center"/>
    </xf>
    <xf numFmtId="0" fontId="17" fillId="3" borderId="7" xfId="0" applyFont="1" applyFill="1" applyBorder="1" applyAlignment="1">
      <alignment horizontal="center"/>
    </xf>
    <xf numFmtId="0" fontId="20" fillId="8" borderId="0" xfId="0" applyFont="1" applyFill="1" applyBorder="1" applyAlignment="1">
      <alignment horizontal="center"/>
    </xf>
    <xf numFmtId="0" fontId="27" fillId="12" borderId="7" xfId="0" applyFont="1" applyFill="1" applyBorder="1" applyAlignment="1">
      <alignment horizontal="center"/>
    </xf>
    <xf numFmtId="0" fontId="27" fillId="13" borderId="7" xfId="0" applyFont="1" applyFill="1" applyBorder="1" applyAlignment="1">
      <alignment horizontal="center"/>
    </xf>
    <xf numFmtId="0" fontId="28" fillId="8" borderId="7" xfId="0" applyFont="1" applyFill="1" applyBorder="1" applyAlignment="1">
      <alignment horizontal="center"/>
    </xf>
    <xf numFmtId="0" fontId="17" fillId="3" borderId="0" xfId="0" applyFont="1" applyFill="1" applyBorder="1" applyAlignment="1">
      <alignment horizontal="left"/>
    </xf>
    <xf numFmtId="0" fontId="26" fillId="4" borderId="4" xfId="0" applyFont="1" applyFill="1" applyBorder="1" applyAlignment="1">
      <alignment horizontal="center" vertical="center"/>
    </xf>
    <xf numFmtId="0" fontId="15" fillId="3" borderId="1" xfId="0" applyFont="1" applyFill="1" applyBorder="1" applyAlignment="1">
      <alignment horizontal="left" vertical="center" wrapText="1"/>
    </xf>
    <xf numFmtId="0" fontId="32" fillId="5" borderId="4" xfId="0" applyFont="1" applyFill="1" applyBorder="1" applyAlignment="1">
      <alignment horizontal="left" vertical="center"/>
    </xf>
    <xf numFmtId="0" fontId="33" fillId="5" borderId="4" xfId="0" applyFont="1" applyFill="1" applyBorder="1" applyAlignment="1">
      <alignment horizontal="left" vertical="center"/>
    </xf>
    <xf numFmtId="0" fontId="25" fillId="2" borderId="1" xfId="0" applyFont="1" applyFill="1" applyBorder="1" applyAlignment="1">
      <alignment horizontal="left" vertical="center"/>
    </xf>
    <xf numFmtId="0" fontId="25" fillId="2" borderId="0" xfId="0" applyFont="1" applyFill="1" applyBorder="1" applyAlignment="1">
      <alignment horizontal="left" vertical="center"/>
    </xf>
    <xf numFmtId="0" fontId="38" fillId="3" borderId="0" xfId="0" applyFont="1" applyFill="1" applyBorder="1" applyAlignment="1">
      <alignment horizontal="left" vertical="center" wrapText="1"/>
    </xf>
    <xf numFmtId="0" fontId="41" fillId="3" borderId="8" xfId="0" applyFont="1" applyFill="1" applyBorder="1" applyAlignment="1">
      <alignment horizontal="left" vertical="center" wrapText="1"/>
    </xf>
    <xf numFmtId="0" fontId="25" fillId="2" borderId="0" xfId="0" applyFont="1" applyFill="1" applyBorder="1" applyAlignment="1">
      <alignment horizontal="center" vertical="center"/>
    </xf>
    <xf numFmtId="0" fontId="17" fillId="3" borderId="2" xfId="0" applyFont="1" applyFill="1" applyBorder="1" applyAlignment="1">
      <alignment horizontal="left" vertical="center" wrapText="1"/>
    </xf>
    <xf numFmtId="0" fontId="17" fillId="3" borderId="9" xfId="0" applyFont="1" applyFill="1" applyBorder="1" applyAlignment="1">
      <alignment horizontal="left" vertical="center" wrapText="1"/>
    </xf>
    <xf numFmtId="0" fontId="15" fillId="3" borderId="4" xfId="0" applyFont="1" applyFill="1" applyBorder="1" applyAlignment="1">
      <alignment horizontal="left" vertical="center" wrapText="1"/>
    </xf>
    <xf numFmtId="0" fontId="25" fillId="2" borderId="4" xfId="0" applyFont="1" applyFill="1" applyBorder="1" applyAlignment="1">
      <alignment horizontal="center"/>
    </xf>
    <xf numFmtId="0" fontId="26" fillId="3" borderId="3" xfId="0" applyFont="1" applyFill="1" applyBorder="1" applyAlignment="1">
      <alignment horizontal="center"/>
    </xf>
    <xf numFmtId="0" fontId="45" fillId="4" borderId="0" xfId="0" applyFont="1" applyFill="1" applyBorder="1"/>
    <xf numFmtId="0" fontId="50" fillId="0" borderId="0" xfId="0" applyFont="1" applyBorder="1"/>
  </cellXfs>
  <cellStyles count="2">
    <cellStyle name="Гиперссылка" xfId="1" builtinId="8"/>
    <cellStyle name="Обычный" xfId="0" builtinId="0"/>
  </cellStyles>
  <dxfs count="7">
    <dxf>
      <font>
        <color rgb="FF006100"/>
      </font>
      <fill>
        <patternFill>
          <bgColor rgb="FFC6EFCE"/>
        </patternFill>
      </fill>
    </dxf>
    <dxf>
      <font>
        <color rgb="FFFF0000"/>
      </font>
      <fill>
        <patternFill>
          <bgColor rgb="FFFFC7CE"/>
        </patternFill>
      </fill>
    </dxf>
    <dxf>
      <font>
        <color rgb="FFFF0000"/>
      </font>
    </dxf>
    <dxf>
      <font>
        <color rgb="FF006100"/>
      </font>
      <fill>
        <patternFill>
          <bgColor rgb="FFC6EFCE"/>
        </patternFill>
      </fill>
    </dxf>
    <dxf>
      <font>
        <color rgb="FFFF0000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C6EFCE"/>
        </patternFill>
      </fill>
    </dxf>
  </dxfs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CE4D6"/>
      <rgbColor rgb="FFFF00FF"/>
      <rgbColor rgb="FF00FFFF"/>
      <rgbColor rgb="FFCC0000"/>
      <rgbColor rgb="FF006100"/>
      <rgbColor rgb="FF000080"/>
      <rgbColor rgb="FF8B5E20"/>
      <rgbColor rgb="FF800080"/>
      <rgbColor rgb="FF008080"/>
      <rgbColor rgb="FFAAAAAA"/>
      <rgbColor rgb="FF808080"/>
      <rgbColor rgb="FF558ED5"/>
      <rgbColor rgb="FF555555"/>
      <rgbColor rgb="FFFFFFCC"/>
      <rgbColor rgb="FFE2EFDA"/>
      <rgbColor rgb="FF4A148C"/>
      <rgbColor rgb="FF888888"/>
      <rgbColor rgb="FF2E74B5"/>
      <rgbColor rgb="FFD0D0D0"/>
      <rgbColor rgb="FF000080"/>
      <rgbColor rgb="FFFF00FF"/>
      <rgbColor rgb="FFF2F2F2"/>
      <rgbColor rgb="FF00FFFF"/>
      <rgbColor rgb="FF800080"/>
      <rgbColor rgb="FF800000"/>
      <rgbColor rgb="FF008080"/>
      <rgbColor rgb="FF0000FF"/>
      <rgbColor rgb="FF00CCFF"/>
      <rgbColor rgb="FFEEF2FF"/>
      <rgbColor rgb="FFC6EFCE"/>
      <rgbColor rgb="FFFFF2CC"/>
      <rgbColor rgb="FFD6DCE4"/>
      <rgbColor rgb="FFFFC7CE"/>
      <rgbColor rgb="FFE4DFEC"/>
      <rgbColor rgb="FFFFCCCC"/>
      <rgbColor rgb="FF4472C4"/>
      <rgbColor rgb="FFE6E0EC"/>
      <rgbColor rgb="FFD6E4F0"/>
      <rgbColor rgb="FFD7E4BD"/>
      <rgbColor rgb="FFFFA000"/>
      <rgbColor rgb="FFE65100"/>
      <rgbColor rgb="FF6B6B8A"/>
      <rgbColor rgb="FF999999"/>
      <rgbColor rgb="FF1F3864"/>
      <rgbColor rgb="FF00B050"/>
      <rgbColor rgb="FF1B5E20"/>
      <rgbColor rgb="FF1A1A2E"/>
      <rgbColor rgb="FFB71C1C"/>
      <rgbColor rgb="FF666666"/>
      <rgbColor rgb="FF0D47A1"/>
      <rgbColor rgb="FF444444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6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file:///C:\Users\C:\Users\&#1088;&#1089;\AppData\Roaming\Microsoft\Excel\ZEREK_FinModel_&#1050;&#1086;&#1092;&#1077;&#1081;&#1085;&#1103;_&#1040;&#1082;&#1090;&#1086;&#1073;&#1077;.xlsx" TargetMode="External"/><Relationship Id="rId3" Type="http://schemas.openxmlformats.org/officeDocument/2006/relationships/hyperlink" Target="file:///C:\Users\C:\Users\&#1088;&#1089;\AppData\Roaming\Microsoft\Excel\ZEREK_FinModel_&#1050;&#1086;&#1092;&#1077;&#1081;&#1085;&#1103;_&#1040;&#1082;&#1090;&#1086;&#1073;&#1077;.xlsx" TargetMode="External"/><Relationship Id="rId7" Type="http://schemas.openxmlformats.org/officeDocument/2006/relationships/hyperlink" Target="file:///C:\Users\C:\Users\&#1088;&#1089;\AppData\Roaming\Microsoft\Excel\ZEREK_FinModel_&#1050;&#1086;&#1092;&#1077;&#1081;&#1085;&#1103;_&#1040;&#1082;&#1090;&#1086;&#1073;&#1077;.xlsx" TargetMode="External"/><Relationship Id="rId2" Type="http://schemas.openxmlformats.org/officeDocument/2006/relationships/hyperlink" Target="file:///C:\Users\C:\Users\&#1088;&#1089;\AppData\Roaming\Microsoft\Excel\ZEREK_FinModel_&#1050;&#1086;&#1092;&#1077;&#1081;&#1085;&#1103;_&#1040;&#1082;&#1090;&#1086;&#1073;&#1077;.xlsx" TargetMode="External"/><Relationship Id="rId1" Type="http://schemas.openxmlformats.org/officeDocument/2006/relationships/hyperlink" Target="file:///C:\Users\C:\Users\&#1088;&#1089;\AppData\Roaming\Microsoft\Excel\ZEREK_FinModel_&#1050;&#1086;&#1092;&#1077;&#1081;&#1085;&#1103;_&#1040;&#1082;&#1090;&#1086;&#1073;&#1077;.xlsx" TargetMode="External"/><Relationship Id="rId6" Type="http://schemas.openxmlformats.org/officeDocument/2006/relationships/hyperlink" Target="file:///C:\Users\C:\Users\&#1088;&#1089;\AppData\Roaming\Microsoft\Excel\ZEREK_FinModel_&#1050;&#1086;&#1092;&#1077;&#1081;&#1085;&#1103;_&#1040;&#1082;&#1090;&#1086;&#1073;&#1077;.xlsx" TargetMode="External"/><Relationship Id="rId5" Type="http://schemas.openxmlformats.org/officeDocument/2006/relationships/hyperlink" Target="file:///C:\Users\C:\Users\&#1088;&#1089;\AppData\Roaming\Microsoft\Excel\ZEREK_FinModel_&#1050;&#1086;&#1092;&#1077;&#1081;&#1085;&#1103;_&#1040;&#1082;&#1090;&#1086;&#1073;&#1077;.xlsx" TargetMode="External"/><Relationship Id="rId4" Type="http://schemas.openxmlformats.org/officeDocument/2006/relationships/hyperlink" Target="file:///C:\Users\C:\Users\&#1088;&#1089;\AppData\Roaming\Microsoft\Excel\ZEREK_FinModel_&#1050;&#1086;&#1092;&#1077;&#1081;&#1085;&#1103;_&#1040;&#1082;&#1090;&#1086;&#1073;&#1077;.xlsx" TargetMode="External"/><Relationship Id="rId9" Type="http://schemas.openxmlformats.org/officeDocument/2006/relationships/hyperlink" Target="file:///C:\Users\C:\Users\&#1088;&#1089;\AppData\Roaming\Microsoft\Excel\ZEREK_FinModel_&#1050;&#1086;&#1092;&#1077;&#1081;&#1085;&#1103;_&#1040;&#1082;&#1090;&#1086;&#1073;&#1077;.xlsx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1F3864"/>
  </sheetPr>
  <dimension ref="A1:C26"/>
  <sheetViews>
    <sheetView zoomScaleNormal="100" workbookViewId="0">
      <selection activeCell="C5" sqref="C5"/>
    </sheetView>
  </sheetViews>
  <sheetFormatPr defaultColWidth="8.6640625" defaultRowHeight="13.8" x14ac:dyDescent="0.3"/>
  <cols>
    <col min="1" max="1" width="5.5546875" style="14" customWidth="1"/>
    <col min="2" max="2" width="40.77734375" style="14" customWidth="1"/>
    <col min="3" max="3" width="59.21875" style="14" customWidth="1"/>
    <col min="4" max="16384" width="8.6640625" style="14"/>
  </cols>
  <sheetData>
    <row r="1" spans="1:3" ht="20.25" customHeight="1" x14ac:dyDescent="0.3">
      <c r="A1" s="13" t="s">
        <v>0</v>
      </c>
      <c r="B1" s="13"/>
      <c r="C1" s="13"/>
    </row>
    <row r="2" spans="1:3" x14ac:dyDescent="0.3">
      <c r="A2" s="12" t="s">
        <v>1</v>
      </c>
      <c r="B2" s="12"/>
      <c r="C2" s="12"/>
    </row>
    <row r="3" spans="1:3" x14ac:dyDescent="0.3">
      <c r="A3" s="15"/>
      <c r="B3" s="11" t="s">
        <v>2</v>
      </c>
      <c r="C3" s="11"/>
    </row>
    <row r="4" spans="1:3" x14ac:dyDescent="0.3">
      <c r="A4" s="16"/>
      <c r="B4" s="16"/>
      <c r="C4" s="16"/>
    </row>
    <row r="5" spans="1:3" ht="16.5" customHeight="1" x14ac:dyDescent="0.3">
      <c r="A5" s="17">
        <v>1</v>
      </c>
      <c r="B5" s="18" t="s">
        <v>3</v>
      </c>
      <c r="C5" s="19" t="s">
        <v>4</v>
      </c>
    </row>
    <row r="6" spans="1:3" ht="16.5" customHeight="1" x14ac:dyDescent="0.3">
      <c r="A6" s="20">
        <v>2</v>
      </c>
      <c r="B6" s="21" t="s">
        <v>5</v>
      </c>
      <c r="C6" s="19" t="s">
        <v>6</v>
      </c>
    </row>
    <row r="7" spans="1:3" ht="16.5" customHeight="1" x14ac:dyDescent="0.3">
      <c r="A7" s="20">
        <v>3</v>
      </c>
      <c r="B7" s="21" t="s">
        <v>7</v>
      </c>
      <c r="C7" s="19" t="s">
        <v>8</v>
      </c>
    </row>
    <row r="8" spans="1:3" ht="16.5" customHeight="1" x14ac:dyDescent="0.3">
      <c r="A8" s="20">
        <v>4</v>
      </c>
      <c r="B8" s="21" t="s">
        <v>9</v>
      </c>
      <c r="C8" s="19" t="s">
        <v>10</v>
      </c>
    </row>
    <row r="9" spans="1:3" ht="16.5" customHeight="1" x14ac:dyDescent="0.3">
      <c r="A9" s="20">
        <v>5</v>
      </c>
      <c r="B9" s="21" t="s">
        <v>11</v>
      </c>
      <c r="C9" s="19" t="s">
        <v>12</v>
      </c>
    </row>
    <row r="10" spans="1:3" ht="16.5" customHeight="1" x14ac:dyDescent="0.3">
      <c r="A10" s="20">
        <v>6</v>
      </c>
      <c r="B10" s="21" t="s">
        <v>13</v>
      </c>
      <c r="C10" s="19" t="s">
        <v>14</v>
      </c>
    </row>
    <row r="11" spans="1:3" ht="16.5" customHeight="1" x14ac:dyDescent="0.3">
      <c r="A11" s="20">
        <v>7</v>
      </c>
      <c r="B11" s="21" t="s">
        <v>15</v>
      </c>
      <c r="C11" s="19" t="s">
        <v>16</v>
      </c>
    </row>
    <row r="12" spans="1:3" ht="16.5" customHeight="1" x14ac:dyDescent="0.3">
      <c r="A12" s="20">
        <v>8</v>
      </c>
      <c r="B12" s="21" t="s">
        <v>17</v>
      </c>
      <c r="C12" s="19" t="s">
        <v>18</v>
      </c>
    </row>
    <row r="13" spans="1:3" ht="16.5" customHeight="1" x14ac:dyDescent="0.3">
      <c r="A13" s="20">
        <v>9</v>
      </c>
      <c r="B13" s="22" t="s">
        <v>19</v>
      </c>
      <c r="C13" s="19" t="s">
        <v>20</v>
      </c>
    </row>
    <row r="14" spans="1:3" ht="16.5" customHeight="1" x14ac:dyDescent="0.3">
      <c r="A14" s="20">
        <v>10</v>
      </c>
      <c r="B14" s="21" t="s">
        <v>21</v>
      </c>
      <c r="C14" s="23" t="s">
        <v>22</v>
      </c>
    </row>
    <row r="15" spans="1:3" ht="16.5" customHeight="1" x14ac:dyDescent="0.3">
      <c r="A15" s="24">
        <v>11</v>
      </c>
      <c r="B15" s="10" t="s">
        <v>23</v>
      </c>
      <c r="C15" s="10"/>
    </row>
    <row r="16" spans="1:3" x14ac:dyDescent="0.3">
      <c r="A16" s="25"/>
      <c r="B16" s="25" t="s">
        <v>24</v>
      </c>
      <c r="C16" s="25"/>
    </row>
    <row r="17" spans="1:3" ht="19.5" customHeight="1" x14ac:dyDescent="0.3">
      <c r="A17" s="26">
        <v>1</v>
      </c>
      <c r="B17" s="9" t="s">
        <v>25</v>
      </c>
      <c r="C17" s="9"/>
    </row>
    <row r="18" spans="1:3" ht="19.5" customHeight="1" x14ac:dyDescent="0.3">
      <c r="A18" s="27">
        <v>2</v>
      </c>
      <c r="B18" s="8" t="s">
        <v>26</v>
      </c>
      <c r="C18" s="8"/>
    </row>
    <row r="19" spans="1:3" ht="19.5" customHeight="1" x14ac:dyDescent="0.3">
      <c r="A19" s="27">
        <v>3</v>
      </c>
      <c r="B19" s="8" t="s">
        <v>27</v>
      </c>
      <c r="C19" s="8"/>
    </row>
    <row r="20" spans="1:3" ht="19.5" customHeight="1" x14ac:dyDescent="0.3">
      <c r="A20" s="28">
        <v>4</v>
      </c>
      <c r="B20" s="7" t="s">
        <v>28</v>
      </c>
      <c r="C20" s="7"/>
    </row>
    <row r="21" spans="1:3" ht="19.5" customHeight="1" x14ac:dyDescent="0.3">
      <c r="A21" s="29">
        <v>5</v>
      </c>
      <c r="B21" s="6" t="s">
        <v>29</v>
      </c>
      <c r="C21" s="6"/>
    </row>
    <row r="22" spans="1:3" ht="19.5" customHeight="1" x14ac:dyDescent="0.3">
      <c r="A22" s="29">
        <v>6</v>
      </c>
      <c r="B22" s="6" t="s">
        <v>30</v>
      </c>
      <c r="C22" s="6"/>
    </row>
    <row r="23" spans="1:3" ht="19.5" customHeight="1" x14ac:dyDescent="0.3">
      <c r="A23" s="29">
        <v>7</v>
      </c>
      <c r="B23" s="5" t="s">
        <v>31</v>
      </c>
      <c r="C23" s="5"/>
    </row>
    <row r="24" spans="1:3" x14ac:dyDescent="0.3">
      <c r="A24" s="30"/>
      <c r="B24" s="30"/>
      <c r="C24" s="30"/>
    </row>
    <row r="25" spans="1:3" x14ac:dyDescent="0.3">
      <c r="A25" s="30"/>
      <c r="B25" s="30"/>
      <c r="C25" s="30"/>
    </row>
    <row r="26" spans="1:3" x14ac:dyDescent="0.3">
      <c r="A26" s="30"/>
      <c r="B26" s="31" t="s">
        <v>32</v>
      </c>
      <c r="C26" s="30"/>
    </row>
  </sheetData>
  <mergeCells count="11">
    <mergeCell ref="B23:C23"/>
    <mergeCell ref="B18:C18"/>
    <mergeCell ref="B19:C19"/>
    <mergeCell ref="B20:C20"/>
    <mergeCell ref="B21:C21"/>
    <mergeCell ref="B22:C22"/>
    <mergeCell ref="A1:C1"/>
    <mergeCell ref="A2:C2"/>
    <mergeCell ref="B3:C3"/>
    <mergeCell ref="B15:C15"/>
    <mergeCell ref="B17:C17"/>
  </mergeCells>
  <hyperlinks>
    <hyperlink ref="B5" r:id="rId1" location="'⚙️%20ПАРАМЕТРЫ'!A1" xr:uid="{00000000-0004-0000-0000-000000000000}"/>
    <hyperlink ref="B6" r:id="rId2" location="'📊%20ДОПУЩЕНИЯ'!A1" xr:uid="{00000000-0004-0000-0000-000001000000}"/>
    <hyperlink ref="B7" r:id="rId3" location="'🎯%20ДАШБОРД'!A1" xr:uid="{00000000-0004-0000-0000-000002000000}"/>
    <hyperlink ref="B8" r:id="rId4" location="'📈%20P&amp;L'!A1" xr:uid="{00000000-0004-0000-0000-000003000000}"/>
    <hyperlink ref="B9" r:id="rId5" location="'💰%20CASH%20FLOW'!A1" xr:uid="{00000000-0004-0000-0000-000004000000}"/>
    <hyperlink ref="B10" r:id="rId6" location="'📑%20БАЛАНС'!A1" xr:uid="{00000000-0004-0000-0000-000005000000}"/>
    <hyperlink ref="B11" r:id="rId7" location="'🔄%20ЧУВСТВИТЕЛЬНОСТЬ'!A1" xr:uid="{00000000-0004-0000-0000-000006000000}"/>
    <hyperlink ref="B12" r:id="rId8" location="'✅%20ПРОВЕРКА'!A1" xr:uid="{00000000-0004-0000-0000-000007000000}"/>
    <hyperlink ref="B13" r:id="rId9" location="'🔥%20СТРЕСС-ТЕСТ'!A1" xr:uid="{00000000-0004-0000-0000-000008000000}"/>
  </hyperlinks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1F3864"/>
  </sheetPr>
  <dimension ref="A1:B28"/>
  <sheetViews>
    <sheetView zoomScaleNormal="100" workbookViewId="0">
      <selection activeCell="C33" sqref="C33"/>
    </sheetView>
  </sheetViews>
  <sheetFormatPr defaultColWidth="8.88671875" defaultRowHeight="12" x14ac:dyDescent="0.25"/>
  <cols>
    <col min="1" max="1" width="5.5546875" style="32" customWidth="1"/>
    <col min="2" max="2" width="101.88671875" style="32" customWidth="1"/>
    <col min="3" max="16384" width="8.88671875" style="32"/>
  </cols>
  <sheetData>
    <row r="1" spans="1:2" ht="15" customHeight="1" x14ac:dyDescent="0.3">
      <c r="A1" s="33"/>
      <c r="B1" s="34" t="s">
        <v>33</v>
      </c>
    </row>
    <row r="2" spans="1:2" x14ac:dyDescent="0.25">
      <c r="A2" s="35"/>
      <c r="B2" s="36" t="s">
        <v>34</v>
      </c>
    </row>
    <row r="3" spans="1:2" x14ac:dyDescent="0.25">
      <c r="A3" s="37"/>
      <c r="B3" s="37"/>
    </row>
    <row r="4" spans="1:2" ht="12.75" customHeight="1" x14ac:dyDescent="0.25">
      <c r="A4" s="38" t="s">
        <v>35</v>
      </c>
      <c r="B4" s="39" t="s">
        <v>36</v>
      </c>
    </row>
    <row r="5" spans="1:2" x14ac:dyDescent="0.25">
      <c r="A5" s="40"/>
      <c r="B5" s="40" t="s">
        <v>37</v>
      </c>
    </row>
    <row r="6" spans="1:2" x14ac:dyDescent="0.25">
      <c r="A6" s="37"/>
      <c r="B6" s="37"/>
    </row>
    <row r="7" spans="1:2" ht="12.75" customHeight="1" x14ac:dyDescent="0.25">
      <c r="A7" s="38" t="s">
        <v>38</v>
      </c>
      <c r="B7" s="39" t="s">
        <v>39</v>
      </c>
    </row>
    <row r="8" spans="1:2" x14ac:dyDescent="0.25">
      <c r="A8" s="40"/>
      <c r="B8" s="40" t="s">
        <v>40</v>
      </c>
    </row>
    <row r="9" spans="1:2" x14ac:dyDescent="0.25">
      <c r="A9" s="37"/>
      <c r="B9" s="37"/>
    </row>
    <row r="10" spans="1:2" ht="12.75" customHeight="1" x14ac:dyDescent="0.25">
      <c r="A10" s="38" t="s">
        <v>41</v>
      </c>
      <c r="B10" s="39" t="s">
        <v>42</v>
      </c>
    </row>
    <row r="11" spans="1:2" x14ac:dyDescent="0.25">
      <c r="A11" s="40"/>
      <c r="B11" s="40" t="s">
        <v>43</v>
      </c>
    </row>
    <row r="12" spans="1:2" x14ac:dyDescent="0.25">
      <c r="A12" s="37"/>
      <c r="B12" s="37"/>
    </row>
    <row r="13" spans="1:2" ht="12.75" customHeight="1" x14ac:dyDescent="0.25">
      <c r="A13" s="38" t="s">
        <v>44</v>
      </c>
      <c r="B13" s="39" t="s">
        <v>45</v>
      </c>
    </row>
    <row r="14" spans="1:2" x14ac:dyDescent="0.25">
      <c r="A14" s="41"/>
      <c r="B14" s="41" t="s">
        <v>46</v>
      </c>
    </row>
    <row r="15" spans="1:2" x14ac:dyDescent="0.25">
      <c r="A15" s="42"/>
      <c r="B15" s="42" t="s">
        <v>47</v>
      </c>
    </row>
    <row r="16" spans="1:2" x14ac:dyDescent="0.25">
      <c r="A16" s="42"/>
      <c r="B16" s="42" t="s">
        <v>48</v>
      </c>
    </row>
    <row r="17" spans="1:2" x14ac:dyDescent="0.25">
      <c r="A17" s="42"/>
      <c r="B17" s="42" t="s">
        <v>49</v>
      </c>
    </row>
    <row r="18" spans="1:2" x14ac:dyDescent="0.25">
      <c r="A18" s="43"/>
      <c r="B18" s="43" t="s">
        <v>50</v>
      </c>
    </row>
    <row r="19" spans="1:2" x14ac:dyDescent="0.25">
      <c r="A19" s="37"/>
      <c r="B19" s="37"/>
    </row>
    <row r="20" spans="1:2" ht="12.75" customHeight="1" x14ac:dyDescent="0.25">
      <c r="A20" s="38" t="s">
        <v>51</v>
      </c>
      <c r="B20" s="39" t="s">
        <v>52</v>
      </c>
    </row>
    <row r="21" spans="1:2" x14ac:dyDescent="0.25">
      <c r="A21" s="41"/>
      <c r="B21" s="41" t="s">
        <v>53</v>
      </c>
    </row>
    <row r="22" spans="1:2" x14ac:dyDescent="0.25">
      <c r="A22" s="43"/>
      <c r="B22" s="43" t="s">
        <v>54</v>
      </c>
    </row>
    <row r="23" spans="1:2" x14ac:dyDescent="0.25">
      <c r="A23" s="37"/>
      <c r="B23" s="37"/>
    </row>
    <row r="24" spans="1:2" ht="12.75" customHeight="1" x14ac:dyDescent="0.25">
      <c r="A24" s="38" t="s">
        <v>55</v>
      </c>
      <c r="B24" s="39" t="s">
        <v>56</v>
      </c>
    </row>
    <row r="25" spans="1:2" x14ac:dyDescent="0.25">
      <c r="A25" s="41"/>
      <c r="B25" s="41" t="s">
        <v>57</v>
      </c>
    </row>
    <row r="26" spans="1:2" x14ac:dyDescent="0.25">
      <c r="A26" s="43"/>
      <c r="B26" s="43" t="s">
        <v>58</v>
      </c>
    </row>
    <row r="27" spans="1:2" x14ac:dyDescent="0.25">
      <c r="A27" s="37"/>
      <c r="B27" s="37"/>
    </row>
    <row r="28" spans="1:2" x14ac:dyDescent="0.25">
      <c r="A28" s="37"/>
      <c r="B28" s="44" t="s">
        <v>59</v>
      </c>
    </row>
  </sheetData>
  <pageMargins left="0.7" right="0.7" top="0.75" bottom="0.75" header="0.511811023622047" footer="0.511811023622047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FFA000"/>
  </sheetPr>
  <dimension ref="A1:E95"/>
  <sheetViews>
    <sheetView topLeftCell="B28" zoomScaleNormal="100" workbookViewId="0">
      <selection activeCell="E6" sqref="E6"/>
    </sheetView>
  </sheetViews>
  <sheetFormatPr defaultColWidth="8.6640625" defaultRowHeight="13.2" x14ac:dyDescent="0.3"/>
  <cols>
    <col min="1" max="1" width="2.21875" style="30" customWidth="1"/>
    <col min="2" max="2" width="50" style="30" customWidth="1"/>
    <col min="3" max="3" width="18.5546875" style="29" customWidth="1"/>
    <col min="4" max="4" width="13" style="45" customWidth="1"/>
    <col min="5" max="5" width="90.109375" style="30" customWidth="1"/>
    <col min="6" max="16384" width="8.6640625" style="30"/>
  </cols>
  <sheetData>
    <row r="1" spans="1:5" ht="20.25" customHeight="1" x14ac:dyDescent="0.3">
      <c r="A1" s="4" t="s">
        <v>60</v>
      </c>
      <c r="B1" s="4"/>
      <c r="C1" s="4"/>
      <c r="D1" s="4"/>
      <c r="E1" s="4"/>
    </row>
    <row r="2" spans="1:5" ht="15" customHeight="1" x14ac:dyDescent="0.3">
      <c r="A2" s="3" t="s">
        <v>61</v>
      </c>
      <c r="B2" s="3"/>
      <c r="C2" s="3"/>
      <c r="D2" s="3"/>
      <c r="E2" s="3"/>
    </row>
    <row r="3" spans="1:5" x14ac:dyDescent="0.3">
      <c r="A3" s="2" t="s">
        <v>62</v>
      </c>
      <c r="B3" s="2"/>
      <c r="C3" s="2"/>
      <c r="D3" s="2"/>
      <c r="E3" s="2"/>
    </row>
    <row r="4" spans="1:5" x14ac:dyDescent="0.3">
      <c r="A4" s="47"/>
      <c r="B4" s="48" t="s">
        <v>63</v>
      </c>
      <c r="C4" s="48" t="s">
        <v>64</v>
      </c>
      <c r="D4" s="49" t="s">
        <v>65</v>
      </c>
      <c r="E4" s="48" t="s">
        <v>66</v>
      </c>
    </row>
    <row r="5" spans="1:5" x14ac:dyDescent="0.3">
      <c r="A5" s="50"/>
      <c r="B5" s="51" t="s">
        <v>67</v>
      </c>
      <c r="C5" s="52" t="s">
        <v>68</v>
      </c>
      <c r="D5" s="53"/>
      <c r="E5" s="54" t="s">
        <v>69</v>
      </c>
    </row>
    <row r="6" spans="1:5" x14ac:dyDescent="0.3">
      <c r="A6" s="55"/>
      <c r="B6" s="51" t="s">
        <v>70</v>
      </c>
      <c r="C6" s="52" t="s">
        <v>71</v>
      </c>
      <c r="D6" s="53"/>
      <c r="E6" s="54" t="s">
        <v>72</v>
      </c>
    </row>
    <row r="7" spans="1:5" ht="12" customHeight="1" x14ac:dyDescent="0.3">
      <c r="A7" s="50"/>
      <c r="B7" s="51" t="s">
        <v>73</v>
      </c>
      <c r="C7" s="52" t="s">
        <v>74</v>
      </c>
      <c r="D7" s="56"/>
      <c r="E7" s="54" t="s">
        <v>75</v>
      </c>
    </row>
    <row r="8" spans="1:5" x14ac:dyDescent="0.3">
      <c r="A8" s="57"/>
      <c r="B8" s="51" t="s">
        <v>76</v>
      </c>
      <c r="C8" s="58">
        <v>0.03</v>
      </c>
      <c r="D8" s="59" t="s">
        <v>77</v>
      </c>
      <c r="E8" s="54" t="s">
        <v>78</v>
      </c>
    </row>
    <row r="9" spans="1:5" x14ac:dyDescent="0.3">
      <c r="A9" s="50"/>
      <c r="B9" s="60" t="s">
        <v>79</v>
      </c>
      <c r="C9" s="61">
        <v>36</v>
      </c>
      <c r="D9" s="62" t="s">
        <v>80</v>
      </c>
      <c r="E9" s="63" t="s">
        <v>81</v>
      </c>
    </row>
    <row r="10" spans="1:5" x14ac:dyDescent="0.3">
      <c r="A10" s="2" t="s">
        <v>82</v>
      </c>
      <c r="B10" s="2"/>
      <c r="C10" s="2"/>
      <c r="D10" s="2"/>
      <c r="E10" s="2"/>
    </row>
    <row r="11" spans="1:5" x14ac:dyDescent="0.3">
      <c r="A11" s="47"/>
      <c r="B11" s="48" t="s">
        <v>63</v>
      </c>
      <c r="C11" s="48" t="s">
        <v>64</v>
      </c>
      <c r="D11" s="49" t="s">
        <v>65</v>
      </c>
      <c r="E11" s="48" t="s">
        <v>66</v>
      </c>
    </row>
    <row r="12" spans="1:5" x14ac:dyDescent="0.3">
      <c r="A12" s="50"/>
      <c r="B12" s="51" t="s">
        <v>83</v>
      </c>
      <c r="C12" s="64">
        <v>1400</v>
      </c>
      <c r="D12" s="59" t="s">
        <v>84</v>
      </c>
      <c r="E12" s="54" t="s">
        <v>85</v>
      </c>
    </row>
    <row r="13" spans="1:5" x14ac:dyDescent="0.3">
      <c r="A13" s="50"/>
      <c r="B13" s="51" t="s">
        <v>86</v>
      </c>
      <c r="C13" s="52">
        <v>70</v>
      </c>
      <c r="D13" s="59" t="s">
        <v>87</v>
      </c>
      <c r="E13" s="54" t="s">
        <v>88</v>
      </c>
    </row>
    <row r="14" spans="1:5" x14ac:dyDescent="0.3">
      <c r="A14" s="50"/>
      <c r="B14" s="51" t="s">
        <v>89</v>
      </c>
      <c r="C14" s="52">
        <v>30</v>
      </c>
      <c r="D14" s="59" t="s">
        <v>90</v>
      </c>
      <c r="E14" s="54" t="s">
        <v>91</v>
      </c>
    </row>
    <row r="15" spans="1:5" x14ac:dyDescent="0.3">
      <c r="A15" s="50"/>
      <c r="B15" s="51" t="s">
        <v>92</v>
      </c>
      <c r="C15" s="58">
        <v>7.0000000000000007E-2</v>
      </c>
      <c r="D15" s="59" t="s">
        <v>77</v>
      </c>
      <c r="E15" s="54" t="s">
        <v>93</v>
      </c>
    </row>
    <row r="16" spans="1:5" x14ac:dyDescent="0.3">
      <c r="A16" s="50"/>
      <c r="B16" s="60" t="s">
        <v>94</v>
      </c>
      <c r="C16" s="65">
        <v>0.08</v>
      </c>
      <c r="D16" s="62" t="s">
        <v>77</v>
      </c>
      <c r="E16" s="63" t="s">
        <v>95</v>
      </c>
    </row>
    <row r="17" spans="1:5" x14ac:dyDescent="0.3">
      <c r="A17" s="2" t="s">
        <v>96</v>
      </c>
      <c r="B17" s="2"/>
      <c r="C17" s="2"/>
      <c r="D17" s="2"/>
      <c r="E17" s="2"/>
    </row>
    <row r="18" spans="1:5" x14ac:dyDescent="0.3">
      <c r="A18" s="47"/>
      <c r="B18" s="48" t="s">
        <v>63</v>
      </c>
      <c r="C18" s="48" t="s">
        <v>64</v>
      </c>
      <c r="D18" s="49" t="s">
        <v>65</v>
      </c>
      <c r="E18" s="48" t="s">
        <v>66</v>
      </c>
    </row>
    <row r="19" spans="1:5" x14ac:dyDescent="0.3">
      <c r="A19" s="50"/>
      <c r="B19" s="51" t="s">
        <v>97</v>
      </c>
      <c r="C19" s="58">
        <v>0.35</v>
      </c>
      <c r="D19" s="59" t="s">
        <v>77</v>
      </c>
      <c r="E19" s="54" t="s">
        <v>98</v>
      </c>
    </row>
    <row r="20" spans="1:5" x14ac:dyDescent="0.3">
      <c r="A20" s="50"/>
      <c r="B20" s="60" t="s">
        <v>99</v>
      </c>
      <c r="C20" s="65">
        <v>0.03</v>
      </c>
      <c r="D20" s="62" t="s">
        <v>77</v>
      </c>
      <c r="E20" s="63" t="s">
        <v>100</v>
      </c>
    </row>
    <row r="21" spans="1:5" x14ac:dyDescent="0.3">
      <c r="A21" s="2" t="s">
        <v>101</v>
      </c>
      <c r="B21" s="2"/>
      <c r="C21" s="2"/>
      <c r="D21" s="2"/>
      <c r="E21" s="2"/>
    </row>
    <row r="22" spans="1:5" x14ac:dyDescent="0.3">
      <c r="A22" s="47"/>
      <c r="B22" s="48" t="s">
        <v>63</v>
      </c>
      <c r="C22" s="48" t="s">
        <v>64</v>
      </c>
      <c r="D22" s="49" t="s">
        <v>65</v>
      </c>
      <c r="E22" s="48" t="s">
        <v>66</v>
      </c>
    </row>
    <row r="23" spans="1:5" x14ac:dyDescent="0.3">
      <c r="A23" s="50"/>
      <c r="B23" s="51" t="s">
        <v>102</v>
      </c>
      <c r="C23" s="64">
        <v>70000</v>
      </c>
      <c r="D23" s="59" t="s">
        <v>103</v>
      </c>
      <c r="E23" s="54" t="s">
        <v>104</v>
      </c>
    </row>
    <row r="24" spans="1:5" x14ac:dyDescent="0.3">
      <c r="A24" s="50"/>
      <c r="B24" s="51" t="s">
        <v>105</v>
      </c>
      <c r="C24" s="52">
        <v>6</v>
      </c>
      <c r="D24" s="59" t="s">
        <v>106</v>
      </c>
      <c r="E24" s="54" t="s">
        <v>107</v>
      </c>
    </row>
    <row r="25" spans="1:5" ht="17.25" customHeight="1" x14ac:dyDescent="0.3">
      <c r="A25" s="50"/>
      <c r="B25" s="51" t="s">
        <v>108</v>
      </c>
      <c r="C25" s="64">
        <v>200000</v>
      </c>
      <c r="D25" s="59" t="s">
        <v>103</v>
      </c>
      <c r="E25" s="54" t="s">
        <v>109</v>
      </c>
    </row>
    <row r="26" spans="1:5" x14ac:dyDescent="0.3">
      <c r="A26" s="50"/>
      <c r="B26" s="51" t="s">
        <v>110</v>
      </c>
      <c r="C26" s="52">
        <v>2</v>
      </c>
      <c r="D26" s="59" t="s">
        <v>111</v>
      </c>
      <c r="E26" s="54" t="s">
        <v>112</v>
      </c>
    </row>
    <row r="27" spans="1:5" x14ac:dyDescent="0.3">
      <c r="A27" s="50"/>
      <c r="B27" s="51" t="s">
        <v>113</v>
      </c>
      <c r="C27" s="64">
        <v>15000</v>
      </c>
      <c r="D27" s="59" t="s">
        <v>103</v>
      </c>
      <c r="E27" s="54" t="s">
        <v>114</v>
      </c>
    </row>
    <row r="28" spans="1:5" x14ac:dyDescent="0.3">
      <c r="A28" s="50"/>
      <c r="B28" s="51" t="s">
        <v>115</v>
      </c>
      <c r="C28" s="64">
        <v>50000</v>
      </c>
      <c r="D28" s="59" t="s">
        <v>103</v>
      </c>
      <c r="E28" s="54" t="s">
        <v>116</v>
      </c>
    </row>
    <row r="29" spans="1:5" x14ac:dyDescent="0.3">
      <c r="A29" s="50"/>
      <c r="B29" s="51" t="s">
        <v>117</v>
      </c>
      <c r="C29" s="64">
        <v>3500</v>
      </c>
      <c r="D29" s="59" t="s">
        <v>103</v>
      </c>
      <c r="E29" s="54" t="s">
        <v>118</v>
      </c>
    </row>
    <row r="30" spans="1:5" x14ac:dyDescent="0.3">
      <c r="A30" s="50"/>
      <c r="B30" s="51" t="s">
        <v>119</v>
      </c>
      <c r="C30" s="64">
        <v>5000</v>
      </c>
      <c r="D30" s="59" t="s">
        <v>103</v>
      </c>
      <c r="E30" s="54" t="s">
        <v>120</v>
      </c>
    </row>
    <row r="31" spans="1:5" x14ac:dyDescent="0.3">
      <c r="A31" s="50"/>
      <c r="B31" s="51" t="s">
        <v>121</v>
      </c>
      <c r="C31" s="52">
        <v>10000</v>
      </c>
      <c r="D31" s="59" t="s">
        <v>103</v>
      </c>
      <c r="E31" s="54" t="s">
        <v>122</v>
      </c>
    </row>
    <row r="32" spans="1:5" x14ac:dyDescent="0.3">
      <c r="A32" s="50"/>
      <c r="B32" s="51" t="s">
        <v>123</v>
      </c>
      <c r="C32" s="66">
        <f>'📊 ДОПУЩЕНИЯ'!C9</f>
        <v>0.1</v>
      </c>
      <c r="D32" s="59" t="s">
        <v>77</v>
      </c>
      <c r="E32" s="54" t="s">
        <v>124</v>
      </c>
    </row>
    <row r="33" spans="1:5" x14ac:dyDescent="0.3">
      <c r="A33" s="50"/>
      <c r="B33" s="51" t="s">
        <v>125</v>
      </c>
      <c r="C33" s="66">
        <f>'📊 ДОПУЩЕНИЯ'!C10</f>
        <v>0.08</v>
      </c>
      <c r="D33" s="59" t="s">
        <v>77</v>
      </c>
      <c r="E33" s="54" t="s">
        <v>124</v>
      </c>
    </row>
    <row r="34" spans="1:5" x14ac:dyDescent="0.3">
      <c r="A34" s="50"/>
      <c r="B34" s="60" t="s">
        <v>126</v>
      </c>
      <c r="C34" s="67">
        <f>'📊 ДОПУЩЕНИЯ'!C12</f>
        <v>0.08</v>
      </c>
      <c r="D34" s="62" t="s">
        <v>77</v>
      </c>
      <c r="E34" s="63" t="s">
        <v>124</v>
      </c>
    </row>
    <row r="35" spans="1:5" x14ac:dyDescent="0.3">
      <c r="A35" s="2" t="s">
        <v>127</v>
      </c>
      <c r="B35" s="2"/>
      <c r="C35" s="2"/>
      <c r="D35" s="2"/>
      <c r="E35" s="2"/>
    </row>
    <row r="36" spans="1:5" x14ac:dyDescent="0.3">
      <c r="A36" s="47"/>
      <c r="B36" s="48" t="s">
        <v>63</v>
      </c>
      <c r="C36" s="48" t="s">
        <v>64</v>
      </c>
      <c r="D36" s="49" t="s">
        <v>65</v>
      </c>
      <c r="E36" s="48" t="s">
        <v>66</v>
      </c>
    </row>
    <row r="37" spans="1:5" x14ac:dyDescent="0.3">
      <c r="A37" s="50"/>
      <c r="B37" s="51" t="s">
        <v>128</v>
      </c>
      <c r="C37" s="64">
        <v>1500000</v>
      </c>
      <c r="D37" s="59" t="s">
        <v>84</v>
      </c>
      <c r="E37" s="54" t="s">
        <v>129</v>
      </c>
    </row>
    <row r="38" spans="1:5" x14ac:dyDescent="0.3">
      <c r="A38" s="50"/>
      <c r="B38" s="51" t="s">
        <v>130</v>
      </c>
      <c r="C38" s="52">
        <v>2</v>
      </c>
      <c r="D38" s="59" t="s">
        <v>80</v>
      </c>
      <c r="E38" s="54" t="s">
        <v>131</v>
      </c>
    </row>
    <row r="39" spans="1:5" x14ac:dyDescent="0.3">
      <c r="A39" s="50"/>
      <c r="B39" s="51" t="s">
        <v>132</v>
      </c>
      <c r="C39" s="64">
        <v>1000000</v>
      </c>
      <c r="D39" s="59" t="s">
        <v>84</v>
      </c>
      <c r="E39" s="54" t="s">
        <v>133</v>
      </c>
    </row>
    <row r="40" spans="1:5" x14ac:dyDescent="0.3">
      <c r="A40" s="50"/>
      <c r="B40" s="51" t="s">
        <v>134</v>
      </c>
      <c r="C40" s="52">
        <v>7</v>
      </c>
      <c r="D40" s="59" t="s">
        <v>135</v>
      </c>
      <c r="E40" s="54" t="s">
        <v>136</v>
      </c>
    </row>
    <row r="41" spans="1:5" ht="13.5" customHeight="1" x14ac:dyDescent="0.3">
      <c r="A41" s="50"/>
      <c r="B41" s="68" t="s">
        <v>137</v>
      </c>
      <c r="C41" s="69">
        <f>C37+C23*C38+C39</f>
        <v>2640000</v>
      </c>
      <c r="D41" s="53" t="s">
        <v>84</v>
      </c>
      <c r="E41" s="54" t="s">
        <v>138</v>
      </c>
    </row>
    <row r="42" spans="1:5" x14ac:dyDescent="0.3">
      <c r="A42" s="50"/>
      <c r="B42" s="51" t="s">
        <v>139</v>
      </c>
      <c r="C42" s="69">
        <f>ROUND(C37/C40/12,0)</f>
        <v>17857</v>
      </c>
      <c r="D42" s="53" t="s">
        <v>103</v>
      </c>
      <c r="E42" s="54" t="s">
        <v>140</v>
      </c>
    </row>
    <row r="43" spans="1:5" ht="14.25" customHeight="1" x14ac:dyDescent="0.3">
      <c r="A43" s="50"/>
      <c r="B43" s="60" t="s">
        <v>141</v>
      </c>
      <c r="C43" s="70">
        <f>'📊 ДОПУЩЕНИЯ'!C61</f>
        <v>40000</v>
      </c>
      <c r="D43" s="71" t="s">
        <v>103</v>
      </c>
      <c r="E43" s="63" t="s">
        <v>142</v>
      </c>
    </row>
    <row r="44" spans="1:5" x14ac:dyDescent="0.3">
      <c r="A44" s="2" t="s">
        <v>143</v>
      </c>
      <c r="B44" s="2"/>
      <c r="C44" s="2"/>
      <c r="D44" s="2"/>
      <c r="E44" s="2"/>
    </row>
    <row r="45" spans="1:5" x14ac:dyDescent="0.3">
      <c r="A45" s="47"/>
      <c r="B45" s="48" t="s">
        <v>63</v>
      </c>
      <c r="C45" s="48" t="s">
        <v>64</v>
      </c>
      <c r="D45" s="49" t="s">
        <v>65</v>
      </c>
      <c r="E45" s="48" t="s">
        <v>66</v>
      </c>
    </row>
    <row r="46" spans="1:5" x14ac:dyDescent="0.3">
      <c r="A46" s="50"/>
      <c r="B46" s="51" t="s">
        <v>144</v>
      </c>
      <c r="C46" s="64">
        <v>1000000</v>
      </c>
      <c r="D46" s="59" t="s">
        <v>84</v>
      </c>
      <c r="E46" s="54" t="s">
        <v>145</v>
      </c>
    </row>
    <row r="47" spans="1:5" x14ac:dyDescent="0.3">
      <c r="A47" s="50"/>
      <c r="B47" s="51" t="s">
        <v>146</v>
      </c>
      <c r="C47" s="58">
        <v>0.22</v>
      </c>
      <c r="D47" s="59" t="s">
        <v>77</v>
      </c>
      <c r="E47" s="54" t="s">
        <v>147</v>
      </c>
    </row>
    <row r="48" spans="1:5" x14ac:dyDescent="0.3">
      <c r="A48" s="50"/>
      <c r="B48" s="51" t="s">
        <v>148</v>
      </c>
      <c r="C48" s="52">
        <v>36</v>
      </c>
      <c r="D48" s="59" t="s">
        <v>80</v>
      </c>
      <c r="E48" s="54" t="s">
        <v>149</v>
      </c>
    </row>
    <row r="49" spans="1:5" x14ac:dyDescent="0.3">
      <c r="A49" s="50"/>
      <c r="B49" s="60" t="s">
        <v>150</v>
      </c>
      <c r="C49" s="70">
        <f>IF(C46=0,0,PMT(C47/12,C48,-C46))</f>
        <v>38190.453178109492</v>
      </c>
      <c r="D49" s="71" t="s">
        <v>103</v>
      </c>
      <c r="E49" s="63" t="s">
        <v>151</v>
      </c>
    </row>
    <row r="50" spans="1:5" x14ac:dyDescent="0.3">
      <c r="A50" s="2" t="s">
        <v>152</v>
      </c>
      <c r="B50" s="2"/>
      <c r="C50" s="2"/>
      <c r="D50" s="2"/>
      <c r="E50" s="2"/>
    </row>
    <row r="51" spans="1:5" x14ac:dyDescent="0.3">
      <c r="A51" s="47"/>
      <c r="B51" s="48" t="s">
        <v>63</v>
      </c>
      <c r="C51" s="48" t="s">
        <v>64</v>
      </c>
      <c r="D51" s="49" t="s">
        <v>65</v>
      </c>
      <c r="E51" s="48" t="s">
        <v>66</v>
      </c>
    </row>
    <row r="52" spans="1:5" x14ac:dyDescent="0.3">
      <c r="A52" s="50"/>
      <c r="B52" s="60" t="s">
        <v>153</v>
      </c>
      <c r="C52" s="65">
        <v>0.2</v>
      </c>
      <c r="D52" s="62" t="s">
        <v>77</v>
      </c>
      <c r="E52" s="63" t="s">
        <v>154</v>
      </c>
    </row>
    <row r="54" spans="1:5" x14ac:dyDescent="0.25">
      <c r="B54" s="72"/>
    </row>
    <row r="55" spans="1:5" x14ac:dyDescent="0.25">
      <c r="A55" s="72"/>
      <c r="B55" s="73" t="s">
        <v>155</v>
      </c>
      <c r="C55" s="72"/>
      <c r="D55" s="32"/>
      <c r="E55" s="72"/>
    </row>
    <row r="56" spans="1:5" x14ac:dyDescent="0.25">
      <c r="A56" s="72"/>
      <c r="B56" s="72"/>
      <c r="C56" s="72"/>
      <c r="D56" s="32"/>
      <c r="E56" s="72"/>
    </row>
    <row r="57" spans="1:5" x14ac:dyDescent="0.25">
      <c r="A57" s="72"/>
      <c r="B57" s="72"/>
      <c r="C57" s="72"/>
      <c r="D57" s="32"/>
      <c r="E57" s="72"/>
    </row>
    <row r="58" spans="1:5" x14ac:dyDescent="0.25">
      <c r="A58" s="72"/>
      <c r="B58" s="72"/>
      <c r="C58" s="72"/>
      <c r="D58" s="32"/>
      <c r="E58" s="72"/>
    </row>
    <row r="59" spans="1:5" x14ac:dyDescent="0.25">
      <c r="A59" s="72"/>
      <c r="B59" s="72"/>
      <c r="C59" s="72"/>
      <c r="D59" s="32"/>
      <c r="E59" s="72"/>
    </row>
    <row r="60" spans="1:5" x14ac:dyDescent="0.25">
      <c r="A60" s="72"/>
      <c r="B60" s="72"/>
      <c r="C60" s="72"/>
      <c r="D60" s="32"/>
      <c r="E60" s="72"/>
    </row>
    <row r="61" spans="1:5" x14ac:dyDescent="0.25">
      <c r="A61" s="72"/>
      <c r="B61" s="72"/>
      <c r="C61" s="72"/>
      <c r="D61" s="32"/>
      <c r="E61" s="72"/>
    </row>
    <row r="62" spans="1:5" x14ac:dyDescent="0.25">
      <c r="A62" s="72"/>
      <c r="B62" s="72"/>
      <c r="C62" s="72"/>
      <c r="D62" s="32"/>
      <c r="E62" s="72"/>
    </row>
    <row r="63" spans="1:5" x14ac:dyDescent="0.25">
      <c r="A63" s="72"/>
      <c r="B63" s="72"/>
      <c r="C63" s="72"/>
      <c r="D63" s="32"/>
      <c r="E63" s="72"/>
    </row>
    <row r="64" spans="1:5" x14ac:dyDescent="0.25">
      <c r="A64" s="72"/>
      <c r="B64" s="72"/>
      <c r="C64" s="72"/>
      <c r="D64" s="32"/>
      <c r="E64" s="72"/>
    </row>
    <row r="65" spans="1:5" x14ac:dyDescent="0.25">
      <c r="A65" s="72"/>
      <c r="B65" s="72"/>
      <c r="C65" s="72"/>
      <c r="D65" s="32"/>
      <c r="E65" s="72"/>
    </row>
    <row r="66" spans="1:5" x14ac:dyDescent="0.25">
      <c r="A66" s="72"/>
      <c r="B66" s="72"/>
      <c r="C66" s="72"/>
      <c r="D66" s="32"/>
      <c r="E66" s="72"/>
    </row>
    <row r="67" spans="1:5" x14ac:dyDescent="0.25">
      <c r="A67" s="72"/>
      <c r="B67" s="72"/>
      <c r="C67" s="72"/>
      <c r="D67" s="32"/>
      <c r="E67" s="72"/>
    </row>
    <row r="68" spans="1:5" x14ac:dyDescent="0.25">
      <c r="A68" s="72"/>
      <c r="B68" s="72"/>
      <c r="C68" s="72"/>
      <c r="D68" s="32"/>
      <c r="E68" s="72"/>
    </row>
    <row r="69" spans="1:5" x14ac:dyDescent="0.25">
      <c r="A69" s="72"/>
      <c r="B69" s="72"/>
      <c r="C69" s="72"/>
      <c r="D69" s="32"/>
      <c r="E69" s="72"/>
    </row>
    <row r="70" spans="1:5" x14ac:dyDescent="0.25">
      <c r="A70" s="72"/>
      <c r="B70" s="72"/>
      <c r="C70" s="72"/>
      <c r="D70" s="32"/>
      <c r="E70" s="72"/>
    </row>
    <row r="71" spans="1:5" x14ac:dyDescent="0.25">
      <c r="A71" s="72"/>
      <c r="B71" s="72"/>
      <c r="C71" s="72"/>
      <c r="D71" s="32"/>
      <c r="E71" s="72"/>
    </row>
    <row r="72" spans="1:5" x14ac:dyDescent="0.25">
      <c r="A72" s="72"/>
      <c r="B72" s="72"/>
      <c r="C72" s="72"/>
      <c r="D72" s="32"/>
      <c r="E72" s="72"/>
    </row>
    <row r="73" spans="1:5" x14ac:dyDescent="0.25">
      <c r="A73" s="72"/>
      <c r="B73" s="72"/>
      <c r="C73" s="72"/>
      <c r="D73" s="32"/>
      <c r="E73" s="72"/>
    </row>
    <row r="74" spans="1:5" x14ac:dyDescent="0.25">
      <c r="A74" s="72"/>
      <c r="B74" s="72"/>
      <c r="C74" s="72"/>
      <c r="D74" s="32"/>
      <c r="E74" s="72"/>
    </row>
    <row r="75" spans="1:5" x14ac:dyDescent="0.25">
      <c r="A75" s="72"/>
      <c r="B75" s="72"/>
      <c r="C75" s="72"/>
      <c r="D75" s="32"/>
      <c r="E75" s="72"/>
    </row>
    <row r="76" spans="1:5" x14ac:dyDescent="0.25">
      <c r="A76" s="72"/>
      <c r="B76" s="72"/>
      <c r="C76" s="72"/>
      <c r="D76" s="32"/>
      <c r="E76" s="72"/>
    </row>
    <row r="77" spans="1:5" x14ac:dyDescent="0.25">
      <c r="A77" s="72"/>
      <c r="B77" s="72"/>
      <c r="C77" s="72"/>
      <c r="D77" s="32"/>
      <c r="E77" s="72"/>
    </row>
    <row r="78" spans="1:5" x14ac:dyDescent="0.25">
      <c r="A78" s="72"/>
      <c r="B78" s="72"/>
      <c r="C78" s="72"/>
      <c r="D78" s="32"/>
      <c r="E78" s="72"/>
    </row>
    <row r="79" spans="1:5" x14ac:dyDescent="0.25">
      <c r="A79" s="72"/>
      <c r="B79" s="72"/>
      <c r="C79" s="72"/>
      <c r="D79" s="32"/>
      <c r="E79" s="72"/>
    </row>
    <row r="80" spans="1:5" x14ac:dyDescent="0.25">
      <c r="A80" s="72"/>
      <c r="B80" s="72"/>
      <c r="C80" s="72"/>
      <c r="D80" s="32"/>
      <c r="E80" s="72"/>
    </row>
    <row r="81" spans="1:5" x14ac:dyDescent="0.25">
      <c r="A81" s="72"/>
      <c r="B81" s="72"/>
      <c r="C81" s="72"/>
      <c r="D81" s="32"/>
      <c r="E81" s="72"/>
    </row>
    <row r="82" spans="1:5" x14ac:dyDescent="0.25">
      <c r="A82" s="72"/>
      <c r="B82" s="72"/>
      <c r="C82" s="72"/>
      <c r="D82" s="32"/>
      <c r="E82" s="72"/>
    </row>
    <row r="83" spans="1:5" x14ac:dyDescent="0.25">
      <c r="A83" s="72"/>
      <c r="B83" s="72"/>
      <c r="C83" s="72"/>
      <c r="D83" s="32"/>
      <c r="E83" s="72"/>
    </row>
    <row r="84" spans="1:5" x14ac:dyDescent="0.25">
      <c r="A84" s="72"/>
      <c r="B84" s="72"/>
      <c r="C84" s="72"/>
      <c r="D84" s="32"/>
      <c r="E84" s="72"/>
    </row>
    <row r="85" spans="1:5" x14ac:dyDescent="0.25">
      <c r="A85" s="72"/>
      <c r="B85" s="72"/>
      <c r="C85" s="72"/>
      <c r="D85" s="32"/>
      <c r="E85" s="72"/>
    </row>
    <row r="86" spans="1:5" x14ac:dyDescent="0.25">
      <c r="A86" s="72"/>
      <c r="B86" s="72"/>
      <c r="C86" s="72"/>
      <c r="D86" s="32"/>
      <c r="E86" s="72"/>
    </row>
    <row r="87" spans="1:5" x14ac:dyDescent="0.25">
      <c r="A87" s="72"/>
      <c r="B87" s="72"/>
      <c r="C87" s="72"/>
      <c r="D87" s="32"/>
      <c r="E87" s="72"/>
    </row>
    <row r="88" spans="1:5" x14ac:dyDescent="0.25">
      <c r="A88" s="72"/>
      <c r="B88" s="72"/>
      <c r="C88" s="72"/>
      <c r="D88" s="32"/>
      <c r="E88" s="72"/>
    </row>
    <row r="89" spans="1:5" x14ac:dyDescent="0.25">
      <c r="A89" s="72"/>
      <c r="B89" s="72"/>
      <c r="C89" s="72"/>
      <c r="D89" s="32"/>
      <c r="E89" s="72"/>
    </row>
    <row r="90" spans="1:5" x14ac:dyDescent="0.25">
      <c r="A90" s="72"/>
      <c r="B90" s="72"/>
      <c r="C90" s="72"/>
      <c r="D90" s="32"/>
      <c r="E90" s="72"/>
    </row>
    <row r="91" spans="1:5" x14ac:dyDescent="0.25">
      <c r="A91" s="72"/>
      <c r="B91" s="72"/>
      <c r="C91" s="72"/>
      <c r="D91" s="32"/>
      <c r="E91" s="72"/>
    </row>
    <row r="92" spans="1:5" x14ac:dyDescent="0.25">
      <c r="A92" s="72"/>
      <c r="B92" s="72"/>
      <c r="C92" s="72"/>
      <c r="D92" s="32"/>
      <c r="E92" s="72"/>
    </row>
    <row r="93" spans="1:5" x14ac:dyDescent="0.25">
      <c r="A93" s="72"/>
      <c r="B93" s="72"/>
      <c r="C93" s="72"/>
      <c r="D93" s="32"/>
      <c r="E93" s="72"/>
    </row>
    <row r="94" spans="1:5" x14ac:dyDescent="0.25">
      <c r="A94" s="72"/>
      <c r="B94" s="72"/>
      <c r="C94" s="72"/>
      <c r="D94" s="32"/>
      <c r="E94" s="72"/>
    </row>
    <row r="95" spans="1:5" x14ac:dyDescent="0.25">
      <c r="A95" s="72"/>
      <c r="B95" s="72"/>
      <c r="C95" s="72"/>
      <c r="D95" s="32"/>
      <c r="E95" s="72"/>
    </row>
  </sheetData>
  <mergeCells count="9">
    <mergeCell ref="A21:E21"/>
    <mergeCell ref="A35:E35"/>
    <mergeCell ref="A44:E44"/>
    <mergeCell ref="A50:E50"/>
    <mergeCell ref="A1:E1"/>
    <mergeCell ref="A2:E2"/>
    <mergeCell ref="A3:E3"/>
    <mergeCell ref="A10:E10"/>
    <mergeCell ref="A17:E17"/>
  </mergeCells>
  <dataValidations count="4">
    <dataValidation type="list" allowBlank="1" showInputMessage="1" showErrorMessage="1" promptTitle="Форма собственности" prompt="ИП: прибыль забирается свободно. ТОО: через дивиденды (5% ИПН)" sqref="C5" xr:uid="{00000000-0002-0000-0200-000000000000}">
      <formula1>"ИП,ТОО"</formula1>
      <formula2>0</formula2>
    </dataValidation>
    <dataValidation type="list" allowBlank="1" showInputMessage="1" showErrorMessage="1" promptTitle="Налоговый режим" prompt="УСН: 3-4% от оборота. ОУР: стандартный (ИПН/КПН от прибыли). Если НДС=Да → автоматически ОУР" sqref="C6" xr:uid="{00000000-0002-0000-0200-000001000000}">
      <formula1>"УСН,ОУР"</formula1>
      <formula2>0</formula2>
    </dataValidation>
    <dataValidation type="list" allowBlank="1" showInputMessage="1" showErrorMessage="1" sqref="C8" xr:uid="{00000000-0002-0000-0200-000002000000}">
      <formula1>"0.02,0.03,0.04"</formula1>
      <formula2>0</formula2>
    </dataValidation>
    <dataValidation type="list" allowBlank="1" showInputMessage="1" showErrorMessage="1" promptTitle="Плательщик НДС" prompt="Да = добровольная постановка на учёт НДС. Нет = не плательщик (авто-включится если выручка &gt; порога)" sqref="C7" xr:uid="{00000000-0002-0000-0200-000003000000}">
      <formula1>"Да,Нет"</formula1>
      <formula2>0</formula2>
    </dataValidation>
  </dataValidations>
  <pageMargins left="0.75" right="0.75" top="1" bottom="1" header="0.511811023622047" footer="0.511811023622047"/>
  <pageSetup paperSize="9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558ED5"/>
  </sheetPr>
  <dimension ref="A1:N79"/>
  <sheetViews>
    <sheetView topLeftCell="A25" zoomScaleNormal="100" workbookViewId="0">
      <selection activeCell="D76" sqref="D76"/>
    </sheetView>
  </sheetViews>
  <sheetFormatPr defaultColWidth="8.6640625" defaultRowHeight="12" outlineLevelCol="7" x14ac:dyDescent="0.25"/>
  <cols>
    <col min="1" max="1" width="3.33203125" style="32" customWidth="1"/>
    <col min="2" max="2" width="35.21875" style="32" customWidth="1"/>
    <col min="3" max="3" width="12.33203125" style="32" customWidth="1" outlineLevel="7"/>
    <col min="4" max="14" width="12.33203125" style="32" customWidth="1"/>
    <col min="15" max="16384" width="8.6640625" style="32"/>
  </cols>
  <sheetData>
    <row r="1" spans="1:14" ht="21" customHeight="1" x14ac:dyDescent="0.25">
      <c r="A1" s="1" t="s">
        <v>156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</row>
    <row r="2" spans="1:14" ht="12" customHeight="1" x14ac:dyDescent="0.25">
      <c r="A2" s="301" t="s">
        <v>157</v>
      </c>
      <c r="B2" s="301"/>
      <c r="C2" s="301"/>
      <c r="D2" s="301"/>
      <c r="E2" s="301"/>
      <c r="F2" s="301"/>
      <c r="G2" s="301"/>
      <c r="H2" s="301"/>
      <c r="I2" s="301"/>
      <c r="J2" s="301"/>
      <c r="K2" s="301"/>
      <c r="L2" s="301"/>
      <c r="M2" s="301"/>
      <c r="N2" s="301"/>
    </row>
    <row r="3" spans="1:14" x14ac:dyDescent="0.25">
      <c r="A3" s="302" t="s">
        <v>158</v>
      </c>
      <c r="B3" s="302"/>
      <c r="C3" s="302"/>
      <c r="D3" s="302"/>
      <c r="E3" s="302"/>
      <c r="F3" s="302"/>
      <c r="G3" s="302"/>
      <c r="H3" s="302"/>
      <c r="I3" s="302"/>
      <c r="J3" s="302"/>
      <c r="K3" s="302"/>
      <c r="L3" s="302"/>
      <c r="M3" s="302"/>
      <c r="N3" s="302"/>
    </row>
    <row r="4" spans="1:14" x14ac:dyDescent="0.25">
      <c r="A4" s="75"/>
      <c r="B4" s="75" t="s">
        <v>159</v>
      </c>
      <c r="C4" s="75" t="s">
        <v>160</v>
      </c>
      <c r="D4" s="75" t="s">
        <v>161</v>
      </c>
      <c r="E4" s="75" t="s">
        <v>162</v>
      </c>
      <c r="F4" s="75" t="s">
        <v>163</v>
      </c>
      <c r="G4" s="75" t="s">
        <v>164</v>
      </c>
      <c r="H4" s="75" t="s">
        <v>165</v>
      </c>
      <c r="I4" s="75" t="s">
        <v>166</v>
      </c>
      <c r="J4" s="75" t="s">
        <v>167</v>
      </c>
      <c r="K4" s="75" t="s">
        <v>168</v>
      </c>
      <c r="L4" s="75" t="s">
        <v>169</v>
      </c>
      <c r="M4" s="75" t="s">
        <v>170</v>
      </c>
      <c r="N4" s="75" t="s">
        <v>171</v>
      </c>
    </row>
    <row r="5" spans="1:14" x14ac:dyDescent="0.25">
      <c r="A5" s="60"/>
      <c r="B5" s="60" t="s">
        <v>172</v>
      </c>
      <c r="C5" s="76">
        <v>0.85</v>
      </c>
      <c r="D5" s="76">
        <v>0.85</v>
      </c>
      <c r="E5" s="76">
        <v>0.9</v>
      </c>
      <c r="F5" s="76">
        <v>1</v>
      </c>
      <c r="G5" s="76">
        <v>1.05</v>
      </c>
      <c r="H5" s="76">
        <v>1.1000000000000001</v>
      </c>
      <c r="I5" s="76">
        <v>1.1000000000000001</v>
      </c>
      <c r="J5" s="76">
        <v>1.05</v>
      </c>
      <c r="K5" s="76">
        <v>1</v>
      </c>
      <c r="L5" s="76">
        <v>0.95</v>
      </c>
      <c r="M5" s="76">
        <v>0.95</v>
      </c>
      <c r="N5" s="76">
        <v>1.2</v>
      </c>
    </row>
    <row r="6" spans="1:14" ht="16.5" customHeight="1" x14ac:dyDescent="0.25">
      <c r="A6" s="77"/>
      <c r="B6" s="303" t="s">
        <v>173</v>
      </c>
      <c r="C6" s="303"/>
      <c r="D6" s="303"/>
      <c r="E6" s="303"/>
      <c r="F6" s="303"/>
      <c r="G6" s="303"/>
      <c r="H6" s="303"/>
      <c r="I6" s="303"/>
      <c r="J6" s="303"/>
      <c r="K6" s="303"/>
      <c r="L6" s="303"/>
      <c r="M6" s="303"/>
      <c r="N6" s="303"/>
    </row>
    <row r="7" spans="1:14" x14ac:dyDescent="0.25">
      <c r="A7" s="302" t="s">
        <v>174</v>
      </c>
      <c r="B7" s="302"/>
      <c r="C7" s="302"/>
      <c r="D7" s="302"/>
      <c r="E7" s="302"/>
      <c r="F7" s="302"/>
      <c r="G7" s="302"/>
      <c r="H7" s="302"/>
      <c r="I7" s="302"/>
      <c r="J7" s="302"/>
      <c r="K7" s="302"/>
      <c r="L7" s="302"/>
      <c r="M7" s="302"/>
      <c r="N7" s="302"/>
    </row>
    <row r="8" spans="1:14" x14ac:dyDescent="0.25">
      <c r="A8" s="75"/>
      <c r="B8" s="75" t="s">
        <v>175</v>
      </c>
      <c r="C8" s="75" t="s">
        <v>176</v>
      </c>
      <c r="D8" s="304" t="s">
        <v>177</v>
      </c>
      <c r="E8" s="304"/>
      <c r="F8" s="304"/>
      <c r="G8" s="304"/>
      <c r="H8" s="304"/>
      <c r="I8" s="304"/>
      <c r="J8" s="304"/>
      <c r="K8" s="304"/>
      <c r="L8" s="304"/>
      <c r="M8" s="304"/>
      <c r="N8" s="304"/>
    </row>
    <row r="9" spans="1:14" ht="14.25" customHeight="1" x14ac:dyDescent="0.25">
      <c r="A9" s="60"/>
      <c r="B9" s="60" t="s">
        <v>178</v>
      </c>
      <c r="C9" s="78">
        <v>0.1</v>
      </c>
      <c r="D9" s="305" t="s">
        <v>179</v>
      </c>
      <c r="E9" s="305"/>
      <c r="F9" s="305"/>
      <c r="G9" s="305"/>
      <c r="H9" s="305"/>
      <c r="I9" s="305"/>
      <c r="J9" s="305"/>
      <c r="K9" s="305"/>
      <c r="L9" s="305"/>
      <c r="M9" s="305"/>
      <c r="N9" s="305"/>
    </row>
    <row r="10" spans="1:14" ht="14.25" customHeight="1" x14ac:dyDescent="0.25">
      <c r="A10" s="60"/>
      <c r="B10" s="60" t="s">
        <v>180</v>
      </c>
      <c r="C10" s="78">
        <v>0.08</v>
      </c>
      <c r="D10" s="305" t="s">
        <v>181</v>
      </c>
      <c r="E10" s="305"/>
      <c r="F10" s="305"/>
      <c r="G10" s="305"/>
      <c r="H10" s="305"/>
      <c r="I10" s="305"/>
      <c r="J10" s="305"/>
      <c r="K10" s="305"/>
      <c r="L10" s="305"/>
      <c r="M10" s="305"/>
      <c r="N10" s="305"/>
    </row>
    <row r="11" spans="1:14" ht="14.25" customHeight="1" x14ac:dyDescent="0.25">
      <c r="A11" s="60"/>
      <c r="B11" s="60" t="s">
        <v>182</v>
      </c>
      <c r="C11" s="78">
        <v>0.12</v>
      </c>
      <c r="D11" s="305" t="s">
        <v>183</v>
      </c>
      <c r="E11" s="305"/>
      <c r="F11" s="305"/>
      <c r="G11" s="305"/>
      <c r="H11" s="305"/>
      <c r="I11" s="305"/>
      <c r="J11" s="305"/>
      <c r="K11" s="305"/>
      <c r="L11" s="305"/>
      <c r="M11" s="305"/>
      <c r="N11" s="305"/>
    </row>
    <row r="12" spans="1:14" ht="14.25" customHeight="1" x14ac:dyDescent="0.25">
      <c r="A12" s="60"/>
      <c r="B12" s="60" t="s">
        <v>113</v>
      </c>
      <c r="C12" s="78">
        <v>0.08</v>
      </c>
      <c r="D12" s="305" t="s">
        <v>184</v>
      </c>
      <c r="E12" s="305"/>
      <c r="F12" s="305"/>
      <c r="G12" s="305"/>
      <c r="H12" s="305"/>
      <c r="I12" s="305"/>
      <c r="J12" s="305"/>
      <c r="K12" s="305"/>
      <c r="L12" s="305"/>
      <c r="M12" s="305"/>
      <c r="N12" s="305"/>
    </row>
    <row r="13" spans="1:14" ht="14.25" customHeight="1" x14ac:dyDescent="0.25">
      <c r="A13" s="60"/>
      <c r="B13" s="60" t="s">
        <v>115</v>
      </c>
      <c r="C13" s="78">
        <v>0.05</v>
      </c>
      <c r="D13" s="305" t="s">
        <v>185</v>
      </c>
      <c r="E13" s="305"/>
      <c r="F13" s="305"/>
      <c r="G13" s="305"/>
      <c r="H13" s="305"/>
      <c r="I13" s="305"/>
      <c r="J13" s="305"/>
      <c r="K13" s="305"/>
      <c r="L13" s="305"/>
      <c r="M13" s="305"/>
      <c r="N13" s="305"/>
    </row>
    <row r="14" spans="1:14" ht="6" customHeight="1" x14ac:dyDescent="0.25">
      <c r="A14" s="80"/>
      <c r="B14" s="80"/>
      <c r="C14" s="80"/>
      <c r="D14" s="80"/>
      <c r="E14" s="80"/>
      <c r="F14" s="80"/>
      <c r="G14" s="80"/>
      <c r="H14" s="80"/>
      <c r="I14" s="80"/>
      <c r="J14" s="80"/>
      <c r="K14" s="80"/>
      <c r="L14" s="80"/>
      <c r="M14" s="80"/>
      <c r="N14" s="80"/>
    </row>
    <row r="15" spans="1:14" x14ac:dyDescent="0.25">
      <c r="A15" s="81" t="s">
        <v>186</v>
      </c>
      <c r="B15" s="82"/>
      <c r="C15" s="83"/>
      <c r="D15" s="83"/>
      <c r="E15" s="83"/>
      <c r="F15" s="83"/>
      <c r="G15" s="83"/>
      <c r="H15" s="83"/>
      <c r="I15" s="83"/>
      <c r="J15" s="83"/>
      <c r="K15" s="83"/>
      <c r="L15" s="83"/>
      <c r="M15" s="83"/>
      <c r="N15" s="83"/>
    </row>
    <row r="16" spans="1:14" x14ac:dyDescent="0.25">
      <c r="A16" s="84"/>
      <c r="B16" s="85" t="s">
        <v>187</v>
      </c>
      <c r="C16" s="84" t="s">
        <v>188</v>
      </c>
      <c r="D16" s="84" t="s">
        <v>189</v>
      </c>
      <c r="E16" s="84" t="s">
        <v>190</v>
      </c>
      <c r="F16" s="84" t="s">
        <v>191</v>
      </c>
      <c r="G16" s="84" t="s">
        <v>192</v>
      </c>
      <c r="H16" s="84" t="s">
        <v>193</v>
      </c>
      <c r="I16" s="84" t="s">
        <v>194</v>
      </c>
      <c r="J16" s="84" t="s">
        <v>195</v>
      </c>
      <c r="K16" s="84" t="s">
        <v>196</v>
      </c>
      <c r="L16" s="84" t="s">
        <v>197</v>
      </c>
      <c r="M16" s="84" t="s">
        <v>198</v>
      </c>
      <c r="N16" s="84" t="s">
        <v>199</v>
      </c>
    </row>
    <row r="17" spans="1:14" ht="14.25" customHeight="1" x14ac:dyDescent="0.25">
      <c r="A17" s="86"/>
      <c r="B17" s="87" t="s">
        <v>200</v>
      </c>
      <c r="C17" s="88">
        <v>0.4</v>
      </c>
      <c r="D17" s="88">
        <v>0.7</v>
      </c>
      <c r="E17" s="88">
        <v>1</v>
      </c>
      <c r="F17" s="88">
        <v>1</v>
      </c>
      <c r="G17" s="88">
        <v>1</v>
      </c>
      <c r="H17" s="88">
        <v>1</v>
      </c>
      <c r="I17" s="88">
        <v>1</v>
      </c>
      <c r="J17" s="88">
        <v>1</v>
      </c>
      <c r="K17" s="88">
        <v>1</v>
      </c>
      <c r="L17" s="88">
        <v>1</v>
      </c>
      <c r="M17" s="88">
        <v>1</v>
      </c>
      <c r="N17" s="88">
        <v>1</v>
      </c>
    </row>
    <row r="18" spans="1:14" ht="14.25" customHeight="1" x14ac:dyDescent="0.25">
      <c r="A18" s="89"/>
      <c r="B18" s="90" t="s">
        <v>201</v>
      </c>
      <c r="C18" s="91">
        <v>1</v>
      </c>
      <c r="D18" s="91">
        <v>1</v>
      </c>
      <c r="E18" s="91">
        <v>1</v>
      </c>
      <c r="F18" s="91">
        <v>1</v>
      </c>
      <c r="G18" s="91">
        <v>1</v>
      </c>
      <c r="H18" s="91">
        <v>1</v>
      </c>
      <c r="I18" s="91">
        <v>1</v>
      </c>
      <c r="J18" s="91">
        <v>1</v>
      </c>
      <c r="K18" s="91">
        <v>1</v>
      </c>
      <c r="L18" s="91">
        <v>1</v>
      </c>
      <c r="M18" s="91">
        <v>1</v>
      </c>
      <c r="N18" s="91">
        <v>1</v>
      </c>
    </row>
    <row r="19" spans="1:14" ht="14.25" customHeight="1" x14ac:dyDescent="0.25">
      <c r="A19" s="89"/>
      <c r="B19" s="90" t="s">
        <v>202</v>
      </c>
      <c r="C19" s="91">
        <v>1</v>
      </c>
      <c r="D19" s="91">
        <v>1</v>
      </c>
      <c r="E19" s="91">
        <v>1</v>
      </c>
      <c r="F19" s="91">
        <v>1</v>
      </c>
      <c r="G19" s="91">
        <v>1</v>
      </c>
      <c r="H19" s="91">
        <v>1</v>
      </c>
      <c r="I19" s="91">
        <v>1</v>
      </c>
      <c r="J19" s="91">
        <v>1</v>
      </c>
      <c r="K19" s="91">
        <v>1</v>
      </c>
      <c r="L19" s="91">
        <v>1</v>
      </c>
      <c r="M19" s="91">
        <v>1</v>
      </c>
      <c r="N19" s="91">
        <v>1</v>
      </c>
    </row>
    <row r="20" spans="1:14" x14ac:dyDescent="0.25">
      <c r="A20" s="92"/>
      <c r="B20" s="93" t="s">
        <v>203</v>
      </c>
      <c r="C20" s="94"/>
      <c r="D20" s="94"/>
      <c r="E20" s="94"/>
      <c r="F20" s="94"/>
      <c r="G20" s="94"/>
      <c r="H20" s="94"/>
      <c r="I20" s="94"/>
      <c r="J20" s="94"/>
      <c r="K20" s="94"/>
      <c r="L20" s="94"/>
      <c r="M20" s="94"/>
      <c r="N20" s="94"/>
    </row>
    <row r="21" spans="1:14" ht="6" customHeight="1" x14ac:dyDescent="0.25">
      <c r="A21" s="95"/>
      <c r="B21" s="96"/>
      <c r="C21" s="80"/>
      <c r="D21" s="80"/>
      <c r="E21" s="80"/>
      <c r="F21" s="80"/>
      <c r="G21" s="80"/>
      <c r="H21" s="80"/>
      <c r="I21" s="80"/>
      <c r="J21" s="80"/>
      <c r="K21" s="80"/>
      <c r="L21" s="80"/>
      <c r="M21" s="80"/>
      <c r="N21" s="80"/>
    </row>
    <row r="22" spans="1:14" ht="6" customHeight="1" x14ac:dyDescent="0.25">
      <c r="A22" s="80"/>
      <c r="B22" s="80"/>
      <c r="C22" s="80"/>
      <c r="D22" s="80"/>
      <c r="E22" s="80"/>
      <c r="F22" s="80"/>
      <c r="G22" s="80"/>
      <c r="H22" s="80"/>
      <c r="I22" s="80"/>
      <c r="J22" s="80"/>
      <c r="K22" s="80"/>
      <c r="L22" s="80"/>
      <c r="M22" s="80"/>
      <c r="N22" s="80"/>
    </row>
    <row r="23" spans="1:14" x14ac:dyDescent="0.25">
      <c r="A23" s="306" t="s">
        <v>204</v>
      </c>
      <c r="B23" s="306"/>
      <c r="C23" s="306"/>
      <c r="D23" s="306"/>
      <c r="E23" s="306"/>
      <c r="F23" s="306"/>
      <c r="G23" s="306"/>
      <c r="H23" s="306"/>
      <c r="I23" s="306"/>
      <c r="J23" s="306"/>
      <c r="K23" s="306"/>
      <c r="L23" s="306"/>
      <c r="M23" s="306"/>
      <c r="N23" s="306"/>
    </row>
    <row r="24" spans="1:14" x14ac:dyDescent="0.25">
      <c r="A24" s="98" t="s">
        <v>205</v>
      </c>
      <c r="B24" s="99"/>
      <c r="C24" s="99"/>
      <c r="D24" s="99"/>
      <c r="E24" s="307"/>
      <c r="F24" s="307"/>
      <c r="G24" s="307"/>
      <c r="H24" s="307"/>
      <c r="I24" s="307"/>
      <c r="J24" s="307"/>
      <c r="K24" s="307"/>
      <c r="L24" s="307"/>
      <c r="M24" s="307"/>
      <c r="N24" s="307"/>
    </row>
    <row r="25" spans="1:14" x14ac:dyDescent="0.25">
      <c r="A25" s="100"/>
      <c r="B25" s="100" t="s">
        <v>63</v>
      </c>
      <c r="C25" s="100" t="s">
        <v>64</v>
      </c>
      <c r="D25" s="100" t="s">
        <v>65</v>
      </c>
      <c r="E25" s="308" t="s">
        <v>206</v>
      </c>
      <c r="F25" s="308"/>
      <c r="G25" s="308"/>
      <c r="H25" s="308"/>
      <c r="I25" s="308"/>
      <c r="J25" s="308"/>
      <c r="K25" s="308"/>
      <c r="L25" s="308"/>
      <c r="M25" s="308"/>
      <c r="N25" s="308"/>
    </row>
    <row r="26" spans="1:14" x14ac:dyDescent="0.25">
      <c r="A26" s="101"/>
      <c r="B26" s="101" t="s">
        <v>207</v>
      </c>
      <c r="C26" s="102">
        <v>4325</v>
      </c>
      <c r="D26" s="103" t="s">
        <v>84</v>
      </c>
      <c r="E26" s="309" t="s">
        <v>208</v>
      </c>
      <c r="F26" s="309"/>
      <c r="G26" s="309"/>
      <c r="H26" s="309"/>
      <c r="I26" s="309"/>
      <c r="J26" s="309"/>
      <c r="K26" s="309"/>
      <c r="L26" s="309"/>
      <c r="M26" s="309"/>
      <c r="N26" s="309"/>
    </row>
    <row r="27" spans="1:14" x14ac:dyDescent="0.25">
      <c r="A27" s="101"/>
      <c r="B27" s="101" t="s">
        <v>209</v>
      </c>
      <c r="C27" s="102">
        <f>C26*10000</f>
        <v>43250000</v>
      </c>
      <c r="D27" s="103" t="s">
        <v>84</v>
      </c>
      <c r="E27" s="309" t="s">
        <v>210</v>
      </c>
      <c r="F27" s="309"/>
      <c r="G27" s="309"/>
      <c r="H27" s="309"/>
      <c r="I27" s="309"/>
      <c r="J27" s="309"/>
      <c r="K27" s="309"/>
      <c r="L27" s="309"/>
      <c r="M27" s="309"/>
      <c r="N27" s="309"/>
    </row>
    <row r="28" spans="1:14" x14ac:dyDescent="0.25">
      <c r="A28" s="101"/>
      <c r="B28" s="101" t="s">
        <v>211</v>
      </c>
      <c r="C28" s="102">
        <f>C26*600000</f>
        <v>2595000000</v>
      </c>
      <c r="D28" s="103" t="s">
        <v>84</v>
      </c>
      <c r="E28" s="309" t="s">
        <v>212</v>
      </c>
      <c r="F28" s="309"/>
      <c r="G28" s="309"/>
      <c r="H28" s="309"/>
      <c r="I28" s="309"/>
      <c r="J28" s="309"/>
      <c r="K28" s="309"/>
      <c r="L28" s="309"/>
      <c r="M28" s="309"/>
      <c r="N28" s="309"/>
    </row>
    <row r="29" spans="1:14" x14ac:dyDescent="0.25">
      <c r="A29" s="101"/>
      <c r="B29" s="101" t="s">
        <v>213</v>
      </c>
      <c r="C29" s="102">
        <f>C26*230000</f>
        <v>994750000</v>
      </c>
      <c r="D29" s="103" t="s">
        <v>84</v>
      </c>
      <c r="E29" s="309" t="s">
        <v>214</v>
      </c>
      <c r="F29" s="309"/>
      <c r="G29" s="309"/>
      <c r="H29" s="309"/>
      <c r="I29" s="309"/>
      <c r="J29" s="309"/>
      <c r="K29" s="309"/>
      <c r="L29" s="309"/>
      <c r="M29" s="309"/>
      <c r="N29" s="309"/>
    </row>
    <row r="30" spans="1:14" ht="6" customHeight="1" x14ac:dyDescent="0.25">
      <c r="A30" s="80"/>
      <c r="B30" s="80"/>
      <c r="C30" s="80"/>
      <c r="D30" s="80"/>
      <c r="E30" s="80"/>
      <c r="F30" s="80"/>
      <c r="G30" s="80"/>
      <c r="H30" s="80"/>
      <c r="I30" s="80"/>
      <c r="J30" s="80"/>
      <c r="K30" s="80"/>
      <c r="L30" s="80"/>
      <c r="M30" s="80"/>
      <c r="N30" s="80"/>
    </row>
    <row r="31" spans="1:14" x14ac:dyDescent="0.25">
      <c r="A31" s="98" t="s">
        <v>215</v>
      </c>
      <c r="B31" s="99"/>
      <c r="C31" s="99"/>
      <c r="D31" s="99"/>
      <c r="E31" s="310"/>
      <c r="F31" s="310"/>
      <c r="G31" s="310"/>
      <c r="H31" s="310"/>
      <c r="I31" s="310"/>
      <c r="J31" s="310"/>
      <c r="K31" s="310"/>
      <c r="L31" s="310"/>
      <c r="M31" s="310"/>
      <c r="N31" s="310"/>
    </row>
    <row r="32" spans="1:14" ht="13.5" customHeight="1" x14ac:dyDescent="0.25">
      <c r="A32" s="104"/>
      <c r="B32" s="104" t="s">
        <v>216</v>
      </c>
      <c r="C32" s="104"/>
      <c r="D32" s="104"/>
      <c r="E32" s="311"/>
      <c r="F32" s="311"/>
      <c r="G32" s="311"/>
      <c r="H32" s="311"/>
      <c r="I32" s="311"/>
      <c r="J32" s="311"/>
      <c r="K32" s="311"/>
      <c r="L32" s="311"/>
      <c r="M32" s="311"/>
      <c r="N32" s="311"/>
    </row>
    <row r="33" spans="1:14" ht="13.5" customHeight="1" x14ac:dyDescent="0.25">
      <c r="A33" s="89"/>
      <c r="B33" s="89" t="s">
        <v>217</v>
      </c>
      <c r="C33" s="105">
        <v>0.1</v>
      </c>
      <c r="D33" s="106"/>
      <c r="E33" s="309" t="s">
        <v>218</v>
      </c>
      <c r="F33" s="309"/>
      <c r="G33" s="309"/>
      <c r="H33" s="309"/>
      <c r="I33" s="309"/>
      <c r="J33" s="309"/>
      <c r="K33" s="309"/>
      <c r="L33" s="309"/>
      <c r="M33" s="309"/>
      <c r="N33" s="309"/>
    </row>
    <row r="34" spans="1:14" ht="13.5" customHeight="1" x14ac:dyDescent="0.25">
      <c r="A34" s="89"/>
      <c r="B34" s="89" t="s">
        <v>219</v>
      </c>
      <c r="C34" s="105">
        <v>0.1</v>
      </c>
      <c r="D34" s="106"/>
      <c r="E34" s="309" t="s">
        <v>220</v>
      </c>
      <c r="F34" s="309"/>
      <c r="G34" s="309"/>
      <c r="H34" s="309"/>
      <c r="I34" s="309"/>
      <c r="J34" s="309"/>
      <c r="K34" s="309"/>
      <c r="L34" s="309"/>
      <c r="M34" s="309"/>
      <c r="N34" s="309"/>
    </row>
    <row r="35" spans="1:14" ht="13.5" customHeight="1" x14ac:dyDescent="0.25">
      <c r="A35" s="89"/>
      <c r="B35" s="89" t="s">
        <v>221</v>
      </c>
      <c r="C35" s="105">
        <v>0.02</v>
      </c>
      <c r="D35" s="106"/>
      <c r="E35" s="309" t="s">
        <v>222</v>
      </c>
      <c r="F35" s="309"/>
      <c r="G35" s="309"/>
      <c r="H35" s="309"/>
      <c r="I35" s="309"/>
      <c r="J35" s="309"/>
      <c r="K35" s="309"/>
      <c r="L35" s="309"/>
      <c r="M35" s="309"/>
      <c r="N35" s="309"/>
    </row>
    <row r="36" spans="1:14" x14ac:dyDescent="0.25">
      <c r="A36" s="107"/>
      <c r="B36" s="108" t="s">
        <v>223</v>
      </c>
      <c r="C36" s="108"/>
      <c r="D36" s="108"/>
      <c r="E36" s="312"/>
      <c r="F36" s="312"/>
      <c r="G36" s="312"/>
      <c r="H36" s="312"/>
      <c r="I36" s="312"/>
      <c r="J36" s="312"/>
      <c r="K36" s="312"/>
      <c r="L36" s="312"/>
      <c r="M36" s="312"/>
      <c r="N36" s="312"/>
    </row>
    <row r="37" spans="1:14" ht="12.75" customHeight="1" x14ac:dyDescent="0.25">
      <c r="A37" s="89"/>
      <c r="B37" s="89" t="s">
        <v>224</v>
      </c>
      <c r="C37" s="105">
        <v>0.03</v>
      </c>
      <c r="D37" s="106"/>
      <c r="E37" s="309" t="s">
        <v>225</v>
      </c>
      <c r="F37" s="309"/>
      <c r="G37" s="309"/>
      <c r="H37" s="309"/>
      <c r="I37" s="309"/>
      <c r="J37" s="309"/>
      <c r="K37" s="309"/>
      <c r="L37" s="309"/>
      <c r="M37" s="309"/>
      <c r="N37" s="309"/>
    </row>
    <row r="38" spans="1:14" ht="12.75" customHeight="1" x14ac:dyDescent="0.25">
      <c r="A38" s="89"/>
      <c r="B38" s="89" t="s">
        <v>226</v>
      </c>
      <c r="C38" s="105">
        <v>3.5000000000000003E-2</v>
      </c>
      <c r="D38" s="106"/>
      <c r="E38" s="309" t="s">
        <v>227</v>
      </c>
      <c r="F38" s="309"/>
      <c r="G38" s="309"/>
      <c r="H38" s="309"/>
      <c r="I38" s="309"/>
      <c r="J38" s="309"/>
      <c r="K38" s="309"/>
      <c r="L38" s="309"/>
      <c r="M38" s="309"/>
      <c r="N38" s="309"/>
    </row>
    <row r="39" spans="1:14" ht="12.75" customHeight="1" x14ac:dyDescent="0.25">
      <c r="A39" s="89"/>
      <c r="B39" s="89" t="s">
        <v>228</v>
      </c>
      <c r="C39" s="105">
        <v>3.5000000000000003E-2</v>
      </c>
      <c r="D39" s="106"/>
      <c r="E39" s="309" t="s">
        <v>229</v>
      </c>
      <c r="F39" s="309"/>
      <c r="G39" s="309"/>
      <c r="H39" s="309"/>
      <c r="I39" s="309"/>
      <c r="J39" s="309"/>
      <c r="K39" s="309"/>
      <c r="L39" s="309"/>
      <c r="M39" s="309"/>
      <c r="N39" s="309"/>
    </row>
    <row r="40" spans="1:14" ht="12.75" customHeight="1" x14ac:dyDescent="0.25">
      <c r="A40" s="89"/>
      <c r="B40" s="89" t="s">
        <v>230</v>
      </c>
      <c r="C40" s="105">
        <v>9.5000000000000001E-2</v>
      </c>
      <c r="D40" s="106"/>
      <c r="E40" s="309" t="s">
        <v>231</v>
      </c>
      <c r="F40" s="309"/>
      <c r="G40" s="309"/>
      <c r="H40" s="309"/>
      <c r="I40" s="309"/>
      <c r="J40" s="309"/>
      <c r="K40" s="309"/>
      <c r="L40" s="309"/>
      <c r="M40" s="309"/>
      <c r="N40" s="309"/>
    </row>
    <row r="41" spans="1:14" ht="6" customHeight="1" x14ac:dyDescent="0.25">
      <c r="A41" s="80"/>
      <c r="B41" s="80"/>
      <c r="C41" s="80"/>
      <c r="D41" s="80"/>
      <c r="E41" s="80"/>
      <c r="F41" s="80"/>
      <c r="G41" s="80"/>
      <c r="H41" s="80"/>
      <c r="I41" s="80"/>
      <c r="J41" s="80"/>
      <c r="K41" s="80"/>
      <c r="L41" s="80"/>
      <c r="M41" s="80"/>
      <c r="N41" s="80"/>
    </row>
    <row r="42" spans="1:14" x14ac:dyDescent="0.25">
      <c r="A42" s="98" t="s">
        <v>232</v>
      </c>
      <c r="B42" s="99"/>
      <c r="C42" s="99"/>
      <c r="D42" s="99"/>
      <c r="E42" s="310"/>
      <c r="F42" s="310"/>
      <c r="G42" s="310"/>
      <c r="H42" s="310"/>
      <c r="I42" s="310"/>
      <c r="J42" s="310"/>
      <c r="K42" s="310"/>
      <c r="L42" s="310"/>
      <c r="M42" s="310"/>
      <c r="N42" s="310"/>
    </row>
    <row r="43" spans="1:14" ht="12.75" customHeight="1" x14ac:dyDescent="0.25">
      <c r="A43" s="89"/>
      <c r="B43" s="89" t="s">
        <v>233</v>
      </c>
      <c r="C43" s="105">
        <v>0.04</v>
      </c>
      <c r="D43" s="106"/>
      <c r="E43" s="309" t="s">
        <v>234</v>
      </c>
      <c r="F43" s="309"/>
      <c r="G43" s="309"/>
      <c r="H43" s="309"/>
      <c r="I43" s="309"/>
      <c r="J43" s="309"/>
      <c r="K43" s="309"/>
      <c r="L43" s="309"/>
      <c r="M43" s="309"/>
      <c r="N43" s="309"/>
    </row>
    <row r="44" spans="1:14" ht="12.75" customHeight="1" x14ac:dyDescent="0.25">
      <c r="A44" s="89"/>
      <c r="B44" s="89" t="s">
        <v>235</v>
      </c>
      <c r="C44" s="105">
        <v>0.16</v>
      </c>
      <c r="D44" s="106"/>
      <c r="E44" s="309" t="s">
        <v>236</v>
      </c>
      <c r="F44" s="309"/>
      <c r="G44" s="309"/>
      <c r="H44" s="309"/>
      <c r="I44" s="309"/>
      <c r="J44" s="309"/>
      <c r="K44" s="309"/>
      <c r="L44" s="309"/>
      <c r="M44" s="309"/>
      <c r="N44" s="309"/>
    </row>
    <row r="45" spans="1:14" ht="12.75" customHeight="1" x14ac:dyDescent="0.25">
      <c r="A45" s="89"/>
      <c r="B45" s="89" t="s">
        <v>237</v>
      </c>
      <c r="C45" s="105">
        <v>0.2</v>
      </c>
      <c r="D45" s="106"/>
      <c r="E45" s="309" t="s">
        <v>238</v>
      </c>
      <c r="F45" s="309"/>
      <c r="G45" s="309"/>
      <c r="H45" s="309"/>
      <c r="I45" s="309"/>
      <c r="J45" s="309"/>
      <c r="K45" s="309"/>
      <c r="L45" s="309"/>
      <c r="M45" s="309"/>
      <c r="N45" s="309"/>
    </row>
    <row r="46" spans="1:14" ht="12.75" customHeight="1" x14ac:dyDescent="0.25">
      <c r="A46" s="89"/>
      <c r="B46" s="89" t="s">
        <v>239</v>
      </c>
      <c r="C46" s="105">
        <v>0.1</v>
      </c>
      <c r="D46" s="106"/>
      <c r="E46" s="309" t="s">
        <v>240</v>
      </c>
      <c r="F46" s="309"/>
      <c r="G46" s="309"/>
      <c r="H46" s="309"/>
      <c r="I46" s="309"/>
      <c r="J46" s="309"/>
      <c r="K46" s="309"/>
      <c r="L46" s="309"/>
      <c r="M46" s="309"/>
      <c r="N46" s="309"/>
    </row>
    <row r="47" spans="1:14" ht="12.75" customHeight="1" x14ac:dyDescent="0.25">
      <c r="A47" s="89"/>
      <c r="B47" s="89" t="s">
        <v>241</v>
      </c>
      <c r="C47" s="105">
        <v>0.15</v>
      </c>
      <c r="D47" s="106"/>
      <c r="E47" s="309" t="s">
        <v>242</v>
      </c>
      <c r="F47" s="309"/>
      <c r="G47" s="309"/>
      <c r="H47" s="309"/>
      <c r="I47" s="309"/>
      <c r="J47" s="309"/>
      <c r="K47" s="309"/>
      <c r="L47" s="309"/>
      <c r="M47" s="309"/>
      <c r="N47" s="309"/>
    </row>
    <row r="48" spans="1:14" ht="12.75" customHeight="1" x14ac:dyDescent="0.25">
      <c r="A48" s="89"/>
      <c r="B48" s="89" t="s">
        <v>243</v>
      </c>
      <c r="C48" s="105">
        <v>0.05</v>
      </c>
      <c r="D48" s="106"/>
      <c r="E48" s="309" t="s">
        <v>244</v>
      </c>
      <c r="F48" s="309"/>
      <c r="G48" s="309"/>
      <c r="H48" s="309"/>
      <c r="I48" s="309"/>
      <c r="J48" s="309"/>
      <c r="K48" s="309"/>
      <c r="L48" s="309"/>
      <c r="M48" s="309"/>
      <c r="N48" s="309"/>
    </row>
    <row r="49" spans="1:14" ht="6" customHeight="1" x14ac:dyDescent="0.25">
      <c r="A49" s="80"/>
      <c r="B49" s="80"/>
      <c r="C49" s="80"/>
      <c r="D49" s="80"/>
      <c r="E49" s="80"/>
      <c r="F49" s="80"/>
      <c r="G49" s="80"/>
      <c r="H49" s="80"/>
      <c r="I49" s="80"/>
      <c r="J49" s="80"/>
      <c r="K49" s="80"/>
      <c r="L49" s="80"/>
      <c r="M49" s="80"/>
      <c r="N49" s="80"/>
    </row>
    <row r="50" spans="1:14" x14ac:dyDescent="0.25">
      <c r="A50" s="109" t="s">
        <v>245</v>
      </c>
      <c r="B50" s="99"/>
      <c r="C50" s="99"/>
      <c r="D50" s="99"/>
      <c r="E50" s="310"/>
      <c r="F50" s="310"/>
      <c r="G50" s="310"/>
      <c r="H50" s="310"/>
      <c r="I50" s="310"/>
      <c r="J50" s="310"/>
      <c r="K50" s="310"/>
      <c r="L50" s="310"/>
      <c r="M50" s="310"/>
      <c r="N50" s="310"/>
    </row>
    <row r="51" spans="1:14" x14ac:dyDescent="0.25">
      <c r="A51" s="100"/>
      <c r="B51" s="100" t="s">
        <v>63</v>
      </c>
      <c r="C51" s="100" t="s">
        <v>64</v>
      </c>
      <c r="D51" s="100" t="s">
        <v>65</v>
      </c>
      <c r="E51" s="313" t="s">
        <v>206</v>
      </c>
      <c r="F51" s="313"/>
      <c r="G51" s="313"/>
      <c r="H51" s="313"/>
      <c r="I51" s="313"/>
      <c r="J51" s="313"/>
      <c r="K51" s="313"/>
      <c r="L51" s="313"/>
      <c r="M51" s="313"/>
      <c r="N51" s="313"/>
    </row>
    <row r="52" spans="1:14" ht="12.75" customHeight="1" x14ac:dyDescent="0.25">
      <c r="A52" s="101"/>
      <c r="B52" s="101" t="s">
        <v>246</v>
      </c>
      <c r="C52" s="110" t="str">
        <f>'⚙️ ПАРАМЕТРЫ'!C7</f>
        <v>Нет</v>
      </c>
      <c r="D52" s="103"/>
      <c r="E52" s="309" t="s">
        <v>247</v>
      </c>
      <c r="F52" s="309"/>
      <c r="G52" s="309"/>
      <c r="H52" s="309"/>
      <c r="I52" s="309"/>
      <c r="J52" s="309"/>
      <c r="K52" s="309"/>
      <c r="L52" s="309"/>
      <c r="M52" s="309"/>
      <c r="N52" s="309"/>
    </row>
    <row r="53" spans="1:14" ht="12.75" customHeight="1" x14ac:dyDescent="0.25">
      <c r="A53" s="101"/>
      <c r="B53" s="101" t="s">
        <v>248</v>
      </c>
      <c r="C53" s="102">
        <f>SUM('📈 P&amp;L'!C12:N12)</f>
        <v>32676000</v>
      </c>
      <c r="D53" s="103" t="s">
        <v>84</v>
      </c>
      <c r="E53" s="309" t="s">
        <v>249</v>
      </c>
      <c r="F53" s="309"/>
      <c r="G53" s="309"/>
      <c r="H53" s="309"/>
      <c r="I53" s="309"/>
      <c r="J53" s="309"/>
      <c r="K53" s="309"/>
      <c r="L53" s="309"/>
      <c r="M53" s="309"/>
      <c r="N53" s="309"/>
    </row>
    <row r="54" spans="1:14" ht="12.75" customHeight="1" x14ac:dyDescent="0.25">
      <c r="A54" s="101"/>
      <c r="B54" s="101" t="s">
        <v>250</v>
      </c>
      <c r="C54" s="110" t="str">
        <f>IF('⚙️ ПАРАМЕТРЫ'!C6="УСН",IF(C53&gt;C28,"Да","Нет"),"—")</f>
        <v>Нет</v>
      </c>
      <c r="D54" s="103"/>
      <c r="E54" s="309" t="s">
        <v>251</v>
      </c>
      <c r="F54" s="309"/>
      <c r="G54" s="309"/>
      <c r="H54" s="309"/>
      <c r="I54" s="309"/>
      <c r="J54" s="309"/>
      <c r="K54" s="309"/>
      <c r="L54" s="309"/>
      <c r="M54" s="309"/>
      <c r="N54" s="309"/>
    </row>
    <row r="55" spans="1:14" ht="12.75" customHeight="1" x14ac:dyDescent="0.25">
      <c r="A55" s="111"/>
      <c r="B55" s="111" t="s">
        <v>252</v>
      </c>
      <c r="C55" s="112" t="str">
        <f>IF(AND('⚙️ ПАРАМЕТРЫ'!C6="УСН",C54="Нет"),"УСН","ОУР")</f>
        <v>УСН</v>
      </c>
      <c r="D55" s="103"/>
      <c r="E55" s="309" t="s">
        <v>253</v>
      </c>
      <c r="F55" s="309"/>
      <c r="G55" s="309"/>
      <c r="H55" s="309"/>
      <c r="I55" s="309"/>
      <c r="J55" s="309"/>
      <c r="K55" s="309"/>
      <c r="L55" s="309"/>
      <c r="M55" s="309"/>
      <c r="N55" s="309"/>
    </row>
    <row r="56" spans="1:14" ht="12.75" customHeight="1" x14ac:dyDescent="0.25">
      <c r="A56" s="101"/>
      <c r="B56" s="101" t="s">
        <v>254</v>
      </c>
      <c r="C56" s="110" t="str">
        <f>IF(C55="ОУР",IF(C53&gt;C27,"Да","Нет"),"Нет")</f>
        <v>Нет</v>
      </c>
      <c r="D56" s="103"/>
      <c r="E56" s="309" t="s">
        <v>255</v>
      </c>
      <c r="F56" s="309"/>
      <c r="G56" s="309"/>
      <c r="H56" s="309"/>
      <c r="I56" s="309"/>
      <c r="J56" s="309"/>
      <c r="K56" s="309"/>
      <c r="L56" s="309"/>
      <c r="M56" s="309"/>
      <c r="N56" s="309"/>
    </row>
    <row r="57" spans="1:14" ht="12.75" customHeight="1" x14ac:dyDescent="0.25">
      <c r="A57" s="111"/>
      <c r="B57" s="111" t="s">
        <v>256</v>
      </c>
      <c r="C57" s="112" t="str">
        <f>IF(OR('⚙️ ПАРАМЕТРЫ'!C7="Да",C56="Да"),"Да","Нет")</f>
        <v>Нет</v>
      </c>
      <c r="D57" s="103"/>
      <c r="E57" s="309" t="s">
        <v>257</v>
      </c>
      <c r="F57" s="309"/>
      <c r="G57" s="309"/>
      <c r="H57" s="309"/>
      <c r="I57" s="309"/>
      <c r="J57" s="309"/>
      <c r="K57" s="309"/>
      <c r="L57" s="309"/>
      <c r="M57" s="309"/>
      <c r="N57" s="309"/>
    </row>
    <row r="58" spans="1:14" ht="12.75" customHeight="1" x14ac:dyDescent="0.25">
      <c r="A58" s="101"/>
      <c r="B58" s="101" t="s">
        <v>258</v>
      </c>
      <c r="C58" s="105">
        <f>IF('⚙️ ПАРАМЕТРЫ'!C8&gt;0,'⚙️ ПАРАМЕТРЫ'!C8,C43)</f>
        <v>0.03</v>
      </c>
      <c r="D58" s="103" t="s">
        <v>77</v>
      </c>
      <c r="E58" s="309" t="s">
        <v>259</v>
      </c>
      <c r="F58" s="309"/>
      <c r="G58" s="309"/>
      <c r="H58" s="309"/>
      <c r="I58" s="309"/>
      <c r="J58" s="309"/>
      <c r="K58" s="309"/>
      <c r="L58" s="309"/>
      <c r="M58" s="309"/>
      <c r="N58" s="309"/>
    </row>
    <row r="59" spans="1:14" ht="12.75" customHeight="1" x14ac:dyDescent="0.25">
      <c r="A59" s="101"/>
      <c r="B59" s="101" t="s">
        <v>260</v>
      </c>
      <c r="C59" s="105">
        <f>IF(C55="УСН",C58,IF('⚙️ ПАРАМЕТРЫ'!C5="ТОО",C45,C46))</f>
        <v>0.03</v>
      </c>
      <c r="D59" s="103" t="s">
        <v>77</v>
      </c>
      <c r="E59" s="309" t="s">
        <v>261</v>
      </c>
      <c r="F59" s="309"/>
      <c r="G59" s="309"/>
      <c r="H59" s="309"/>
      <c r="I59" s="309"/>
      <c r="J59" s="309"/>
      <c r="K59" s="309"/>
      <c r="L59" s="309"/>
      <c r="M59" s="309"/>
      <c r="N59" s="309"/>
    </row>
    <row r="60" spans="1:14" ht="12.75" customHeight="1" x14ac:dyDescent="0.25">
      <c r="A60" s="111"/>
      <c r="B60" s="111" t="s">
        <v>262</v>
      </c>
      <c r="C60" s="113">
        <f>IF(C55="УСН",C37+C38+C39,C37+C38+C39+MAX(C40-C39,0))</f>
        <v>0.1</v>
      </c>
      <c r="D60" s="103" t="s">
        <v>77</v>
      </c>
      <c r="E60" s="309" t="s">
        <v>263</v>
      </c>
      <c r="F60" s="309"/>
      <c r="G60" s="309"/>
      <c r="H60" s="309"/>
      <c r="I60" s="309"/>
      <c r="J60" s="309"/>
      <c r="K60" s="309"/>
      <c r="L60" s="309"/>
      <c r="M60" s="309"/>
      <c r="N60" s="309"/>
    </row>
    <row r="61" spans="1:14" ht="12.75" customHeight="1" x14ac:dyDescent="0.25">
      <c r="A61" s="101"/>
      <c r="B61" s="101" t="s">
        <v>264</v>
      </c>
      <c r="C61" s="102">
        <f>ROUND('⚙️ ПАРАМЕТРЫ'!C25*'⚙️ ПАРАМЕТРЫ'!C26*C60,0)</f>
        <v>40000</v>
      </c>
      <c r="D61" s="103" t="s">
        <v>103</v>
      </c>
      <c r="E61" s="309" t="s">
        <v>265</v>
      </c>
      <c r="F61" s="309"/>
      <c r="G61" s="309"/>
      <c r="H61" s="309"/>
      <c r="I61" s="309"/>
      <c r="J61" s="309"/>
      <c r="K61" s="309"/>
      <c r="L61" s="309"/>
      <c r="M61" s="309"/>
      <c r="N61" s="309"/>
    </row>
    <row r="62" spans="1:14" ht="12.75" customHeight="1" x14ac:dyDescent="0.25">
      <c r="A62" s="114"/>
      <c r="B62" s="114" t="s">
        <v>266</v>
      </c>
      <c r="C62" s="115">
        <f>'⚙️ ПАРАМЕТРЫ'!C25*'⚙️ ПАРАМЕТРЫ'!C26+C61</f>
        <v>440000</v>
      </c>
      <c r="D62" s="116" t="s">
        <v>103</v>
      </c>
      <c r="E62" s="309" t="s">
        <v>267</v>
      </c>
      <c r="F62" s="309"/>
      <c r="G62" s="309"/>
      <c r="H62" s="309"/>
      <c r="I62" s="309"/>
      <c r="J62" s="309"/>
      <c r="K62" s="309"/>
      <c r="L62" s="309"/>
      <c r="M62" s="309"/>
      <c r="N62" s="309"/>
    </row>
    <row r="63" spans="1:14" x14ac:dyDescent="0.25">
      <c r="A63" s="93" t="s">
        <v>268</v>
      </c>
      <c r="B63" s="93"/>
      <c r="C63" s="93"/>
      <c r="D63" s="93"/>
      <c r="E63" s="309"/>
      <c r="F63" s="309"/>
      <c r="G63" s="309"/>
      <c r="H63" s="309"/>
      <c r="I63" s="309"/>
      <c r="J63" s="309"/>
      <c r="K63" s="309"/>
      <c r="L63" s="309"/>
      <c r="M63" s="309"/>
      <c r="N63" s="309"/>
    </row>
    <row r="65" spans="1:14" x14ac:dyDescent="0.25">
      <c r="A65" s="117" t="s">
        <v>269</v>
      </c>
      <c r="B65" s="118"/>
      <c r="C65" s="118"/>
      <c r="D65" s="118"/>
      <c r="E65" s="118"/>
      <c r="F65" s="118"/>
      <c r="G65" s="118"/>
      <c r="H65" s="118"/>
      <c r="I65" s="118"/>
      <c r="J65" s="118"/>
      <c r="K65" s="118"/>
      <c r="L65" s="118"/>
      <c r="M65" s="118"/>
      <c r="N65" s="118"/>
    </row>
    <row r="66" spans="1:14" x14ac:dyDescent="0.25">
      <c r="A66" s="95"/>
    </row>
    <row r="67" spans="1:14" x14ac:dyDescent="0.25">
      <c r="A67" s="119" t="s">
        <v>270</v>
      </c>
    </row>
    <row r="68" spans="1:14" x14ac:dyDescent="0.25">
      <c r="A68" s="314" t="s">
        <v>271</v>
      </c>
      <c r="B68" s="314"/>
      <c r="C68" s="314"/>
    </row>
    <row r="69" spans="1:14" x14ac:dyDescent="0.25">
      <c r="A69" s="120"/>
    </row>
    <row r="70" spans="1:14" x14ac:dyDescent="0.25">
      <c r="A70" s="119" t="s">
        <v>272</v>
      </c>
    </row>
    <row r="71" spans="1:14" x14ac:dyDescent="0.25">
      <c r="A71" s="314" t="s">
        <v>273</v>
      </c>
      <c r="B71" s="314"/>
      <c r="C71" s="314"/>
    </row>
    <row r="72" spans="1:14" x14ac:dyDescent="0.25">
      <c r="A72" s="120"/>
    </row>
    <row r="73" spans="1:14" x14ac:dyDescent="0.25">
      <c r="A73" s="119" t="s">
        <v>274</v>
      </c>
    </row>
    <row r="74" spans="1:14" x14ac:dyDescent="0.25">
      <c r="A74" s="314" t="s">
        <v>275</v>
      </c>
      <c r="B74" s="314"/>
      <c r="C74" s="314"/>
    </row>
    <row r="75" spans="1:14" x14ac:dyDescent="0.25">
      <c r="A75" s="120"/>
    </row>
    <row r="76" spans="1:14" x14ac:dyDescent="0.25">
      <c r="A76" s="119" t="s">
        <v>276</v>
      </c>
    </row>
    <row r="77" spans="1:14" x14ac:dyDescent="0.25">
      <c r="A77" s="314" t="s">
        <v>277</v>
      </c>
      <c r="B77" s="314"/>
      <c r="C77" s="314"/>
    </row>
    <row r="78" spans="1:14" x14ac:dyDescent="0.25">
      <c r="A78" s="314" t="s">
        <v>278</v>
      </c>
      <c r="B78" s="314"/>
      <c r="C78" s="314"/>
    </row>
    <row r="79" spans="1:14" x14ac:dyDescent="0.25">
      <c r="A79" s="314" t="s">
        <v>279</v>
      </c>
      <c r="B79" s="314"/>
      <c r="C79" s="314"/>
    </row>
  </sheetData>
  <mergeCells count="55">
    <mergeCell ref="A71:C71"/>
    <mergeCell ref="A74:C74"/>
    <mergeCell ref="A77:C77"/>
    <mergeCell ref="A78:C78"/>
    <mergeCell ref="A79:C79"/>
    <mergeCell ref="E60:N60"/>
    <mergeCell ref="E61:N61"/>
    <mergeCell ref="E62:N62"/>
    <mergeCell ref="E63:N63"/>
    <mergeCell ref="A68:C68"/>
    <mergeCell ref="E55:N55"/>
    <mergeCell ref="E56:N56"/>
    <mergeCell ref="E57:N57"/>
    <mergeCell ref="E58:N58"/>
    <mergeCell ref="E59:N59"/>
    <mergeCell ref="E50:N50"/>
    <mergeCell ref="E51:N51"/>
    <mergeCell ref="E52:N52"/>
    <mergeCell ref="E53:N53"/>
    <mergeCell ref="E54:N54"/>
    <mergeCell ref="E44:N44"/>
    <mergeCell ref="E45:N45"/>
    <mergeCell ref="E46:N46"/>
    <mergeCell ref="E47:N47"/>
    <mergeCell ref="E48:N48"/>
    <mergeCell ref="E38:N38"/>
    <mergeCell ref="E39:N39"/>
    <mergeCell ref="E40:N40"/>
    <mergeCell ref="E42:N42"/>
    <mergeCell ref="E43:N43"/>
    <mergeCell ref="E33:N33"/>
    <mergeCell ref="E34:N34"/>
    <mergeCell ref="E35:N35"/>
    <mergeCell ref="E36:N36"/>
    <mergeCell ref="E37:N37"/>
    <mergeCell ref="E27:N27"/>
    <mergeCell ref="E28:N28"/>
    <mergeCell ref="E29:N29"/>
    <mergeCell ref="E31:N31"/>
    <mergeCell ref="E32:N32"/>
    <mergeCell ref="D13:N13"/>
    <mergeCell ref="A23:N23"/>
    <mergeCell ref="E24:N24"/>
    <mergeCell ref="E25:N25"/>
    <mergeCell ref="E26:N26"/>
    <mergeCell ref="D8:N8"/>
    <mergeCell ref="D9:N9"/>
    <mergeCell ref="D10:N10"/>
    <mergeCell ref="D11:N11"/>
    <mergeCell ref="D12:N12"/>
    <mergeCell ref="A1:N1"/>
    <mergeCell ref="A2:N2"/>
    <mergeCell ref="A3:N3"/>
    <mergeCell ref="B6:N6"/>
    <mergeCell ref="A7:N7"/>
  </mergeCells>
  <pageMargins left="0.75" right="0.75" top="1" bottom="1" header="0.511811023622047" footer="0.511811023622047"/>
  <pageSetup paperSize="9" orientation="portrait" horizontalDpi="300" verticalDpi="30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rgb="FF1F3864"/>
  </sheetPr>
  <dimension ref="A1:E41"/>
  <sheetViews>
    <sheetView zoomScaleNormal="100" workbookViewId="0">
      <selection activeCell="C28" sqref="C28"/>
    </sheetView>
  </sheetViews>
  <sheetFormatPr defaultColWidth="8.6640625" defaultRowHeight="12" x14ac:dyDescent="0.3"/>
  <cols>
    <col min="1" max="1" width="1.88671875" style="121" customWidth="1"/>
    <col min="2" max="5" width="32.33203125" style="121" customWidth="1"/>
    <col min="6" max="16384" width="8.6640625" style="121"/>
  </cols>
  <sheetData>
    <row r="1" spans="1:5" ht="21" customHeight="1" x14ac:dyDescent="0.3">
      <c r="A1" s="1" t="s">
        <v>280</v>
      </c>
      <c r="B1" s="1"/>
      <c r="C1" s="1"/>
      <c r="D1" s="1"/>
      <c r="E1" s="1"/>
    </row>
    <row r="2" spans="1:5" x14ac:dyDescent="0.3">
      <c r="A2" s="315" t="s">
        <v>281</v>
      </c>
      <c r="B2" s="315"/>
      <c r="C2" s="315"/>
      <c r="D2" s="315"/>
      <c r="E2" s="315"/>
    </row>
    <row r="3" spans="1:5" ht="17.25" customHeight="1" x14ac:dyDescent="0.3">
      <c r="A3" s="2" t="s">
        <v>282</v>
      </c>
      <c r="B3" s="2"/>
      <c r="C3" s="2"/>
      <c r="D3" s="2"/>
      <c r="E3" s="2"/>
    </row>
    <row r="4" spans="1:5" x14ac:dyDescent="0.3">
      <c r="A4" s="122"/>
      <c r="B4" s="122" t="s">
        <v>283</v>
      </c>
      <c r="C4" s="122" t="s">
        <v>284</v>
      </c>
      <c r="D4" s="122" t="s">
        <v>285</v>
      </c>
      <c r="E4" s="122" t="s">
        <v>286</v>
      </c>
    </row>
    <row r="5" spans="1:5" ht="15" customHeight="1" x14ac:dyDescent="0.3">
      <c r="A5" s="123"/>
      <c r="B5" s="123">
        <f>NPV('⚙️ ПАРАМЕТРЫ'!C52/12,'💰 CASH FLOW'!C25:AL25)+'💰 CASH FLOW'!B25</f>
        <v>31863327.789373539</v>
      </c>
      <c r="C5" s="124">
        <f>IFERROR(IRR('💰 CASH FLOW'!B25:AL25),0)</f>
        <v>0.31820614508306777</v>
      </c>
      <c r="D5" s="125">
        <f t="array" ref="D5">IFERROR(MATCH(1,('💰 CASH FLOW'!C26:AL26&gt;=0)*1,0),"&gt;36")</f>
        <v>4</v>
      </c>
      <c r="E5" s="124">
        <f>IFERROR(SUM('💰 CASH FLOW'!C25:AL25)/(-'💰 CASH FLOW'!B25),0)</f>
        <v>18.025752153631835</v>
      </c>
    </row>
    <row r="6" spans="1:5" ht="36" customHeight="1" x14ac:dyDescent="0.3">
      <c r="A6" s="126"/>
      <c r="B6" s="126" t="s">
        <v>287</v>
      </c>
      <c r="C6" s="126" t="s">
        <v>288</v>
      </c>
      <c r="D6" s="126" t="s">
        <v>289</v>
      </c>
      <c r="E6" s="126" t="s">
        <v>290</v>
      </c>
    </row>
    <row r="8" spans="1:5" ht="15.75" customHeight="1" x14ac:dyDescent="0.3">
      <c r="A8" s="2" t="s">
        <v>291</v>
      </c>
      <c r="B8" s="2"/>
      <c r="C8" s="2"/>
      <c r="D8" s="2"/>
      <c r="E8" s="2"/>
    </row>
    <row r="9" spans="1:5" ht="12.75" customHeight="1" x14ac:dyDescent="0.3">
      <c r="A9" s="122"/>
      <c r="B9" s="122" t="s">
        <v>292</v>
      </c>
      <c r="C9" s="122" t="s">
        <v>293</v>
      </c>
      <c r="D9" s="122" t="s">
        <v>294</v>
      </c>
      <c r="E9" s="122" t="s">
        <v>295</v>
      </c>
    </row>
    <row r="10" spans="1:5" ht="12.75" customHeight="1" x14ac:dyDescent="0.3">
      <c r="A10" s="127"/>
      <c r="B10" s="127" t="s">
        <v>296</v>
      </c>
      <c r="C10" s="128">
        <f>SUM('📈 P&amp;L'!C12:AL12)</f>
        <v>120485040</v>
      </c>
      <c r="D10" s="129">
        <f t="shared" ref="D10:D19" si="0">IFERROR(C10/36,"")</f>
        <v>3346806.6666666665</v>
      </c>
      <c r="E10" s="130">
        <f>IFERROR(C10/SUM('📈 P&amp;L'!C12:AL12),"")</f>
        <v>1</v>
      </c>
    </row>
    <row r="11" spans="1:5" ht="12.75" customHeight="1" x14ac:dyDescent="0.3">
      <c r="A11" s="60"/>
      <c r="B11" s="60" t="s">
        <v>297</v>
      </c>
      <c r="C11" s="129">
        <f>SUM('📈 P&amp;L'!C14:AL14)</f>
        <v>42169764</v>
      </c>
      <c r="D11" s="129">
        <f t="shared" si="0"/>
        <v>1171382.3333333333</v>
      </c>
      <c r="E11" s="130">
        <f>IFERROR(C11/SUM('📈 P&amp;L'!C12:AL12),"")</f>
        <v>0.35</v>
      </c>
    </row>
    <row r="12" spans="1:5" ht="12.75" customHeight="1" x14ac:dyDescent="0.3">
      <c r="A12" s="60"/>
      <c r="B12" s="60" t="s">
        <v>298</v>
      </c>
      <c r="C12" s="129">
        <f>SUM('📈 P&amp;L'!C15:AL15)</f>
        <v>3614553</v>
      </c>
      <c r="D12" s="129">
        <f t="shared" si="0"/>
        <v>100404.25</v>
      </c>
      <c r="E12" s="130">
        <f>IFERROR(C12/SUM('📈 P&amp;L'!C12:AL12),"")</f>
        <v>3.0000014939614079E-2</v>
      </c>
    </row>
    <row r="13" spans="1:5" ht="12.75" customHeight="1" x14ac:dyDescent="0.3">
      <c r="A13" s="127"/>
      <c r="B13" s="127" t="s">
        <v>299</v>
      </c>
      <c r="C13" s="128">
        <f>SUM('📈 P&amp;L'!C16:AL16)</f>
        <v>74700723</v>
      </c>
      <c r="D13" s="129">
        <f t="shared" si="0"/>
        <v>2075020.0833333333</v>
      </c>
      <c r="E13" s="130">
        <f>IFERROR(C13/SUM('📈 P&amp;L'!C12:AL12),"")</f>
        <v>0.61999998506038589</v>
      </c>
    </row>
    <row r="14" spans="1:5" ht="12.75" customHeight="1" x14ac:dyDescent="0.3">
      <c r="A14" s="60"/>
      <c r="B14" s="60" t="s">
        <v>300</v>
      </c>
      <c r="C14" s="129">
        <f>SUM('📈 P&amp;L'!C18:AL18)</f>
        <v>15582720</v>
      </c>
      <c r="D14" s="129">
        <f t="shared" si="0"/>
        <v>432853.33333333331</v>
      </c>
      <c r="E14" s="130">
        <f>IFERROR(C14/SUM('📈 P&amp;L'!C12:AL12),"")</f>
        <v>0.12933323506387184</v>
      </c>
    </row>
    <row r="15" spans="1:5" ht="12.75" customHeight="1" x14ac:dyDescent="0.3">
      <c r="A15" s="60"/>
      <c r="B15" s="60" t="s">
        <v>301</v>
      </c>
      <c r="C15" s="129">
        <f>SUM('📈 P&amp;L'!C24:AL24)</f>
        <v>2780400</v>
      </c>
      <c r="D15" s="129">
        <f t="shared" si="0"/>
        <v>77233.333333333328</v>
      </c>
      <c r="E15" s="130">
        <f>IFERROR(C15/SUM('📈 P&amp;L'!C12:AL12),"")</f>
        <v>2.3076723882068679E-2</v>
      </c>
    </row>
    <row r="16" spans="1:5" ht="12.75" customHeight="1" x14ac:dyDescent="0.3">
      <c r="A16" s="60"/>
      <c r="B16" s="60" t="s">
        <v>302</v>
      </c>
      <c r="C16" s="129">
        <f>SUM('📈 P&amp;L'!C25:AL25)+SUM('📈 P&amp;L'!C26:AL26)+SUM('📈 P&amp;L'!C27:AL27)+SUM('📈 P&amp;L'!C28:AL28)+SUM('📈 P&amp;L'!C29:AL29)</f>
        <v>3201924</v>
      </c>
      <c r="D16" s="129">
        <f t="shared" si="0"/>
        <v>88942.333333333328</v>
      </c>
      <c r="E16" s="130">
        <f>IFERROR(C16/SUM('📈 P&amp;L'!C12:AL12),"")</f>
        <v>2.6575282707297105E-2</v>
      </c>
    </row>
    <row r="17" spans="1:5" ht="12.75" customHeight="1" x14ac:dyDescent="0.3">
      <c r="A17" s="127"/>
      <c r="B17" s="127" t="s">
        <v>303</v>
      </c>
      <c r="C17" s="128">
        <f>SUM('📈 P&amp;L'!C31:AL31)</f>
        <v>51577395</v>
      </c>
      <c r="D17" s="129">
        <f t="shared" si="0"/>
        <v>1432705.4166666667</v>
      </c>
      <c r="E17" s="130">
        <f>IFERROR(C17/SUM('📈 P&amp;L'!C12:AL12),"")</f>
        <v>0.4280813203033339</v>
      </c>
    </row>
    <row r="18" spans="1:5" ht="12.75" customHeight="1" x14ac:dyDescent="0.3">
      <c r="A18" s="60"/>
      <c r="B18" s="60" t="s">
        <v>304</v>
      </c>
      <c r="C18" s="129">
        <f>SUM('📈 P&amp;L'!C35:AL35)</f>
        <v>3614553</v>
      </c>
      <c r="D18" s="129">
        <f t="shared" si="0"/>
        <v>100404.25</v>
      </c>
      <c r="E18" s="130">
        <f>IFERROR(C18/SUM('📈 P&amp;L'!C12:AL12),"")</f>
        <v>3.0000014939614079E-2</v>
      </c>
    </row>
    <row r="19" spans="1:5" ht="12.75" customHeight="1" x14ac:dyDescent="0.3">
      <c r="A19" s="127"/>
      <c r="B19" s="127" t="s">
        <v>305</v>
      </c>
      <c r="C19" s="128">
        <f>SUM('📈 P&amp;L'!C38:AL38)</f>
        <v>46945133.685588047</v>
      </c>
      <c r="D19" s="129">
        <f t="shared" si="0"/>
        <v>1304031.4912663347</v>
      </c>
      <c r="E19" s="130">
        <f>IFERROR(C19/SUM('📈 P&amp;L'!C12:AL12),"")</f>
        <v>0.38963454455082597</v>
      </c>
    </row>
    <row r="21" spans="1:5" ht="14.25" customHeight="1" x14ac:dyDescent="0.3">
      <c r="A21" s="2" t="s">
        <v>306</v>
      </c>
      <c r="B21" s="2"/>
      <c r="C21" s="2"/>
      <c r="D21" s="2"/>
      <c r="E21" s="2"/>
    </row>
    <row r="22" spans="1:5" ht="13.5" customHeight="1" x14ac:dyDescent="0.3">
      <c r="A22" s="131"/>
      <c r="B22" s="316" t="str">
        <f>IF(B5&gt;0,"✅ NPV положительный — проект создаёт стоимость.","❌ NPV отрицательный — проект разрушает стоимость.")</f>
        <v>✅ NPV положительный — проект создаёт стоимость.</v>
      </c>
      <c r="C22" s="316"/>
      <c r="D22" s="316"/>
      <c r="E22" s="316"/>
    </row>
    <row r="23" spans="1:5" ht="13.5" customHeight="1" x14ac:dyDescent="0.3">
      <c r="A23" s="131"/>
      <c r="B23" s="316" t="str">
        <f>IF(C5&gt;'⚙️ ПАРАМЕТРЫ'!C52/12,"✅ IRR выше WACC — проект привлекателен для инвестора.","⚠️ IRR ниже WACC — доходность не покрывает риски.")</f>
        <v>✅ IRR выше WACC — проект привлекателен для инвестора.</v>
      </c>
      <c r="C23" s="316"/>
      <c r="D23" s="316"/>
      <c r="E23" s="316"/>
    </row>
    <row r="24" spans="1:5" ht="13.5" customHeight="1" x14ac:dyDescent="0.3">
      <c r="A24" s="131"/>
      <c r="B24" s="316" t="str">
        <f>IF(D5&lt;=18,"✅ Окупаемость до 18 мес — отличный показатель.",IF(D5&lt;=30,"⚠️ Окупаемость 18-30 мес — приемлемо.","❌ Окупаемость &gt;30 мес — высокий риск."))</f>
        <v>✅ Окупаемость до 18 мес — отличный показатель.</v>
      </c>
      <c r="C24" s="316"/>
      <c r="D24" s="316"/>
      <c r="E24" s="316"/>
    </row>
    <row r="26" spans="1:5" ht="15.75" customHeight="1" x14ac:dyDescent="0.3">
      <c r="A26" s="132" t="s">
        <v>307</v>
      </c>
      <c r="B26" s="133"/>
      <c r="C26" s="134"/>
      <c r="D26" s="134"/>
      <c r="E26" s="135"/>
    </row>
    <row r="27" spans="1:5" ht="15" customHeight="1" x14ac:dyDescent="0.3">
      <c r="A27" s="136"/>
      <c r="B27" s="136" t="s">
        <v>308</v>
      </c>
      <c r="C27" s="137">
        <f>'⚙️ ПАРАМЕТРЫ'!C41</f>
        <v>2640000</v>
      </c>
      <c r="D27" s="138" t="s">
        <v>84</v>
      </c>
    </row>
    <row r="28" spans="1:5" ht="15" customHeight="1" x14ac:dyDescent="0.3">
      <c r="A28" s="136"/>
      <c r="B28" s="136" t="s">
        <v>309</v>
      </c>
      <c r="C28" s="139">
        <f>'🔥 СТРЕСС-ТЕСТ'!C59</f>
        <v>26</v>
      </c>
      <c r="D28" s="138" t="s">
        <v>310</v>
      </c>
    </row>
    <row r="29" spans="1:5" ht="15" customHeight="1" x14ac:dyDescent="0.3">
      <c r="A29" s="136"/>
      <c r="B29" s="136" t="s">
        <v>311</v>
      </c>
      <c r="C29" s="137">
        <f>MIN('💰 CASH FLOW'!C22:AL22)</f>
        <v>-1577850.4531781094</v>
      </c>
      <c r="D29" s="138" t="s">
        <v>84</v>
      </c>
    </row>
    <row r="30" spans="1:5" ht="15" customHeight="1" x14ac:dyDescent="0.3">
      <c r="A30" s="136"/>
      <c r="B30" s="136" t="s">
        <v>312</v>
      </c>
      <c r="C30" s="140" t="str">
        <f>IF(MIN('💰 CASH FLOW'!C22:AL22)&lt;0,"ДА 🔴","НЕТ ✅")</f>
        <v>ДА 🔴</v>
      </c>
      <c r="D30" s="141"/>
    </row>
    <row r="31" spans="1:5" ht="15" customHeight="1" x14ac:dyDescent="0.3">
      <c r="A31" s="136"/>
      <c r="B31" s="136" t="s">
        <v>313</v>
      </c>
      <c r="C31" s="140" t="str">
        <f>INDEX('🔥 СТРЕСС-ТЕСТ'!B46:B50,MATCH(MIN('🔥 СТРЕСС-ТЕСТ'!E46:E50),'🔥 СТРЕСС-ТЕСТ'!E46:E50,0))</f>
        <v>Трафик − 20%</v>
      </c>
      <c r="D31" s="141"/>
    </row>
    <row r="32" spans="1:5" ht="15" customHeight="1" x14ac:dyDescent="0.3">
      <c r="A32" s="142"/>
      <c r="B32" s="142" t="s">
        <v>314</v>
      </c>
      <c r="C32" s="143" t="str">
        <f>INDEX('🔥 СТРЕСС-ТЕСТ'!B46:B50,MATCH(MAX('🔥 СТРЕСС-ТЕСТ'!E46:E50),'🔥 СТРЕСС-ТЕСТ'!E46:E50,0))</f>
        <v>Аренда + 20%</v>
      </c>
      <c r="D32" s="144"/>
    </row>
    <row r="34" spans="1:5" s="30" customFormat="1" ht="15" customHeight="1" x14ac:dyDescent="0.3">
      <c r="A34" s="145" t="s">
        <v>315</v>
      </c>
      <c r="B34" s="146"/>
      <c r="C34" s="147"/>
      <c r="D34" s="147"/>
      <c r="E34" s="148"/>
    </row>
    <row r="35" spans="1:5" ht="13.5" customHeight="1" x14ac:dyDescent="0.3">
      <c r="A35" s="149"/>
      <c r="B35" s="317" t="str">
        <f>IF(AND(B5&gt;0,D5&lt;=24,C30="НЕТ ✅"),"✅ Проект жизнеспособен. NPV+, окупаемость в норме, разрывов нет.","❌ Есть зоны риска — см. ниже.")</f>
        <v>❌ Есть зоны риска — см. ниже.</v>
      </c>
      <c r="C35" s="317"/>
      <c r="D35" s="317"/>
      <c r="E35" s="317"/>
    </row>
    <row r="36" spans="1:5" ht="13.5" customHeight="1" x14ac:dyDescent="0.3">
      <c r="A36" s="149"/>
      <c r="B36" s="318" t="str">
        <f>IF(D5&gt;30,"❌ Окупаемость &gt; 30 мес → снизьте CAPEX или поднимите чек.",IF(D5&gt;18,"⚠️ Окупаемость "&amp;D5&amp;" мес → ищите допродажи и лояльность.","✅ Окупаемость "&amp;D5&amp;" мес — норма."))</f>
        <v>✅ Окупаемость 4 мес — норма.</v>
      </c>
      <c r="C36" s="318"/>
      <c r="D36" s="318"/>
      <c r="E36" s="318"/>
    </row>
    <row r="37" spans="1:5" ht="13.5" customHeight="1" x14ac:dyDescent="0.3">
      <c r="A37" s="149"/>
      <c r="B37" s="318" t="str">
        <f>IF(IFERROR(AVERAGE('📈 P&amp;L'!O24:Z24)/AVERAGE('📈 P&amp;L'!O12:Z12),0)&gt;0.25,"⚠️ Аренда &gt; 25% выручки → торгуйтесь или меняйте локацию.","✅ Аренда в норме.")</f>
        <v>✅ Аренда в норме.</v>
      </c>
      <c r="C37" s="318"/>
      <c r="D37" s="318"/>
      <c r="E37" s="318"/>
    </row>
    <row r="38" spans="1:5" ht="13.5" customHeight="1" x14ac:dyDescent="0.3">
      <c r="A38" s="149"/>
      <c r="B38" s="318" t="str">
        <f>IF(IFERROR(C17/C10,0)&lt;0.1,"⚠️ EBITDA &lt; 10% → режьте постоянные или поднимайте чек.","✅ EBITDA маржа здоровая.")</f>
        <v>✅ EBITDA маржа здоровая.</v>
      </c>
      <c r="C38" s="318"/>
      <c r="D38" s="318"/>
      <c r="E38" s="318"/>
    </row>
    <row r="39" spans="1:5" ht="13.5" customHeight="1" x14ac:dyDescent="0.3">
      <c r="A39" s="150"/>
      <c r="B39" s="318" t="str">
        <f>IF(C30="ДА 🔴","❌ Кассовый разрыв! → добавьте "&amp;TEXT(ABS(C29),"# ##0")&amp;" ₸ оборотки.","✅ Разрывов нет. Мин. остаток: "&amp;TEXT(C29,"# ##0")&amp;" ₸.")</f>
        <v>❌ Кассовый разрыв! → добавьте 1 577 850 ₸ оборотки.</v>
      </c>
      <c r="C39" s="318"/>
      <c r="D39" s="318"/>
      <c r="E39" s="318"/>
    </row>
    <row r="41" spans="1:5" x14ac:dyDescent="0.3">
      <c r="A41" s="151" t="s">
        <v>316</v>
      </c>
    </row>
  </sheetData>
  <mergeCells count="13">
    <mergeCell ref="B37:E37"/>
    <mergeCell ref="B38:E38"/>
    <mergeCell ref="B39:E39"/>
    <mergeCell ref="B22:E22"/>
    <mergeCell ref="B23:E23"/>
    <mergeCell ref="B24:E24"/>
    <mergeCell ref="B35:E35"/>
    <mergeCell ref="B36:E36"/>
    <mergeCell ref="A1:E1"/>
    <mergeCell ref="A2:E2"/>
    <mergeCell ref="A3:E3"/>
    <mergeCell ref="A8:E8"/>
    <mergeCell ref="A21:E21"/>
  </mergeCells>
  <pageMargins left="0.75" right="0.75" top="1" bottom="1" header="0.511811023622047" footer="0.511811023622047"/>
  <pageSetup paperSize="9" orientation="portrait" horizontalDpi="300" verticalDpi="30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rgb="FF1B5E20"/>
  </sheetPr>
  <dimension ref="A1:AL41"/>
  <sheetViews>
    <sheetView zoomScaleNormal="100" workbookViewId="0">
      <selection activeCell="J33" sqref="J33"/>
    </sheetView>
  </sheetViews>
  <sheetFormatPr defaultColWidth="8.6640625" defaultRowHeight="12" x14ac:dyDescent="0.25"/>
  <cols>
    <col min="1" max="1" width="3" style="32" customWidth="1"/>
    <col min="2" max="2" width="30" style="32" customWidth="1"/>
    <col min="3" max="39" width="13" style="32" customWidth="1"/>
    <col min="40" max="16384" width="8.6640625" style="32"/>
  </cols>
  <sheetData>
    <row r="1" spans="1:38" ht="27.75" customHeight="1" x14ac:dyDescent="0.25">
      <c r="A1" s="319" t="s">
        <v>317</v>
      </c>
      <c r="B1" s="319"/>
      <c r="C1" s="319"/>
      <c r="D1" s="319"/>
      <c r="E1" s="319"/>
      <c r="F1" s="319"/>
      <c r="G1" s="319"/>
      <c r="H1" s="319"/>
      <c r="I1" s="319"/>
      <c r="J1" s="319"/>
      <c r="K1" s="319"/>
      <c r="L1" s="319"/>
      <c r="M1" s="319"/>
      <c r="N1" s="319"/>
      <c r="O1" s="319"/>
      <c r="P1" s="319"/>
      <c r="Q1" s="319"/>
      <c r="R1" s="319"/>
      <c r="S1" s="319"/>
      <c r="T1" s="319"/>
      <c r="U1" s="319"/>
      <c r="V1" s="319"/>
      <c r="W1" s="319"/>
      <c r="X1" s="319"/>
      <c r="Y1" s="319"/>
      <c r="Z1" s="319"/>
      <c r="AA1" s="319"/>
      <c r="AB1" s="319"/>
      <c r="AC1" s="319"/>
      <c r="AD1" s="319"/>
      <c r="AE1" s="319"/>
      <c r="AF1" s="319"/>
      <c r="AG1" s="319"/>
      <c r="AH1" s="319"/>
      <c r="AI1" s="319"/>
      <c r="AJ1" s="319"/>
      <c r="AK1" s="319"/>
      <c r="AL1" s="319"/>
    </row>
    <row r="2" spans="1:38" ht="15" customHeight="1" x14ac:dyDescent="0.25">
      <c r="A2" s="301" t="s">
        <v>318</v>
      </c>
      <c r="B2" s="301"/>
      <c r="C2" s="301"/>
      <c r="D2" s="301"/>
      <c r="E2" s="301"/>
      <c r="F2" s="301"/>
      <c r="G2" s="301"/>
      <c r="H2" s="301"/>
      <c r="I2" s="301"/>
      <c r="J2" s="301"/>
      <c r="K2" s="301"/>
      <c r="L2" s="301"/>
      <c r="M2" s="301"/>
      <c r="N2" s="301"/>
      <c r="O2" s="301"/>
      <c r="P2" s="301"/>
      <c r="Q2" s="301"/>
      <c r="R2" s="301"/>
      <c r="S2" s="301"/>
      <c r="T2" s="301"/>
      <c r="U2" s="301"/>
      <c r="V2" s="301"/>
      <c r="W2" s="301"/>
      <c r="X2" s="301"/>
      <c r="Y2" s="301"/>
      <c r="Z2" s="301"/>
      <c r="AA2" s="301"/>
      <c r="AB2" s="301"/>
      <c r="AC2" s="301"/>
      <c r="AD2" s="301"/>
      <c r="AE2" s="301"/>
      <c r="AF2" s="301"/>
      <c r="AG2" s="301"/>
      <c r="AH2" s="301"/>
      <c r="AI2" s="301"/>
      <c r="AJ2" s="301"/>
      <c r="AK2" s="301"/>
      <c r="AL2" s="301"/>
    </row>
    <row r="3" spans="1:38" x14ac:dyDescent="0.25">
      <c r="A3" s="122"/>
      <c r="B3" s="122" t="s">
        <v>319</v>
      </c>
      <c r="C3" s="122" t="s">
        <v>188</v>
      </c>
      <c r="D3" s="122" t="s">
        <v>189</v>
      </c>
      <c r="E3" s="122" t="s">
        <v>190</v>
      </c>
      <c r="F3" s="122" t="s">
        <v>191</v>
      </c>
      <c r="G3" s="122" t="s">
        <v>192</v>
      </c>
      <c r="H3" s="122" t="s">
        <v>193</v>
      </c>
      <c r="I3" s="122" t="s">
        <v>194</v>
      </c>
      <c r="J3" s="122" t="s">
        <v>195</v>
      </c>
      <c r="K3" s="122" t="s">
        <v>196</v>
      </c>
      <c r="L3" s="122" t="s">
        <v>197</v>
      </c>
      <c r="M3" s="122" t="s">
        <v>198</v>
      </c>
      <c r="N3" s="122" t="s">
        <v>199</v>
      </c>
      <c r="O3" s="122" t="s">
        <v>320</v>
      </c>
      <c r="P3" s="122" t="s">
        <v>321</v>
      </c>
      <c r="Q3" s="122" t="s">
        <v>322</v>
      </c>
      <c r="R3" s="122" t="s">
        <v>323</v>
      </c>
      <c r="S3" s="122" t="s">
        <v>324</v>
      </c>
      <c r="T3" s="122" t="s">
        <v>325</v>
      </c>
      <c r="U3" s="122" t="s">
        <v>326</v>
      </c>
      <c r="V3" s="122" t="s">
        <v>327</v>
      </c>
      <c r="W3" s="122" t="s">
        <v>328</v>
      </c>
      <c r="X3" s="122" t="s">
        <v>329</v>
      </c>
      <c r="Y3" s="122" t="s">
        <v>330</v>
      </c>
      <c r="Z3" s="122" t="s">
        <v>331</v>
      </c>
      <c r="AA3" s="122" t="s">
        <v>332</v>
      </c>
      <c r="AB3" s="122" t="s">
        <v>333</v>
      </c>
      <c r="AC3" s="122" t="s">
        <v>334</v>
      </c>
      <c r="AD3" s="122" t="s">
        <v>335</v>
      </c>
      <c r="AE3" s="122" t="s">
        <v>336</v>
      </c>
      <c r="AF3" s="122" t="s">
        <v>337</v>
      </c>
      <c r="AG3" s="122" t="s">
        <v>338</v>
      </c>
      <c r="AH3" s="122" t="s">
        <v>339</v>
      </c>
      <c r="AI3" s="122" t="s">
        <v>340</v>
      </c>
      <c r="AJ3" s="122" t="s">
        <v>341</v>
      </c>
      <c r="AK3" s="122" t="s">
        <v>342</v>
      </c>
      <c r="AL3" s="122" t="s">
        <v>343</v>
      </c>
    </row>
    <row r="4" spans="1:38" x14ac:dyDescent="0.25">
      <c r="A4" s="152"/>
      <c r="B4" s="152" t="s">
        <v>344</v>
      </c>
      <c r="C4" s="153">
        <f>MOD(1-1+3,12)+1</f>
        <v>4</v>
      </c>
      <c r="D4" s="153">
        <f>MOD(2-1+3,12)+1</f>
        <v>5</v>
      </c>
      <c r="E4" s="153">
        <f>MOD(3-1+3,12)+1</f>
        <v>6</v>
      </c>
      <c r="F4" s="153">
        <f>MOD(4-1+3,12)+1</f>
        <v>7</v>
      </c>
      <c r="G4" s="153">
        <f>MOD(5-1+3,12)+1</f>
        <v>8</v>
      </c>
      <c r="H4" s="153">
        <f>MOD(6-1+3,12)+1</f>
        <v>9</v>
      </c>
      <c r="I4" s="153">
        <f>MOD(7-1+3,12)+1</f>
        <v>10</v>
      </c>
      <c r="J4" s="153">
        <f>MOD(8-1+3,12)+1</f>
        <v>11</v>
      </c>
      <c r="K4" s="153">
        <f>MOD(9-1+3,12)+1</f>
        <v>12</v>
      </c>
      <c r="L4" s="153">
        <f>MOD(10-1+3,12)+1</f>
        <v>1</v>
      </c>
      <c r="M4" s="153">
        <f>MOD(11-1+3,12)+1</f>
        <v>2</v>
      </c>
      <c r="N4" s="153">
        <f>MOD(12-1+3,12)+1</f>
        <v>3</v>
      </c>
      <c r="O4" s="153">
        <f>MOD(13-1+3,12)+1</f>
        <v>4</v>
      </c>
      <c r="P4" s="153">
        <f>MOD(14-1+3,12)+1</f>
        <v>5</v>
      </c>
      <c r="Q4" s="153">
        <f>MOD(15-1+3,12)+1</f>
        <v>6</v>
      </c>
      <c r="R4" s="153">
        <f>MOD(16-1+3,12)+1</f>
        <v>7</v>
      </c>
      <c r="S4" s="153">
        <f>MOD(17-1+3,12)+1</f>
        <v>8</v>
      </c>
      <c r="T4" s="153">
        <f>MOD(18-1+3,12)+1</f>
        <v>9</v>
      </c>
      <c r="U4" s="153">
        <f>MOD(19-1+3,12)+1</f>
        <v>10</v>
      </c>
      <c r="V4" s="153">
        <f>MOD(20-1+3,12)+1</f>
        <v>11</v>
      </c>
      <c r="W4" s="153">
        <f>MOD(21-1+3,12)+1</f>
        <v>12</v>
      </c>
      <c r="X4" s="153">
        <f>MOD(22-1+3,12)+1</f>
        <v>1</v>
      </c>
      <c r="Y4" s="153">
        <f>MOD(23-1+3,12)+1</f>
        <v>2</v>
      </c>
      <c r="Z4" s="153">
        <f>MOD(24-1+3,12)+1</f>
        <v>3</v>
      </c>
      <c r="AA4" s="153">
        <f>MOD(25-1+3,12)+1</f>
        <v>4</v>
      </c>
      <c r="AB4" s="153">
        <f>MOD(26-1+3,12)+1</f>
        <v>5</v>
      </c>
      <c r="AC4" s="153">
        <f>MOD(27-1+3,12)+1</f>
        <v>6</v>
      </c>
      <c r="AD4" s="153">
        <f>MOD(28-1+3,12)+1</f>
        <v>7</v>
      </c>
      <c r="AE4" s="153">
        <f>MOD(29-1+3,12)+1</f>
        <v>8</v>
      </c>
      <c r="AF4" s="153">
        <f>MOD(30-1+3,12)+1</f>
        <v>9</v>
      </c>
      <c r="AG4" s="153">
        <f>MOD(31-1+3,12)+1</f>
        <v>10</v>
      </c>
      <c r="AH4" s="153">
        <f>MOD(32-1+3,12)+1</f>
        <v>11</v>
      </c>
      <c r="AI4" s="153">
        <f>MOD(33-1+3,12)+1</f>
        <v>12</v>
      </c>
      <c r="AJ4" s="153">
        <f>MOD(34-1+3,12)+1</f>
        <v>1</v>
      </c>
      <c r="AK4" s="153">
        <f>MOD(35-1+3,12)+1</f>
        <v>2</v>
      </c>
      <c r="AL4" s="153">
        <f>MOD(36-1+3,12)+1</f>
        <v>3</v>
      </c>
    </row>
    <row r="5" spans="1:38" x14ac:dyDescent="0.25">
      <c r="A5" s="152"/>
      <c r="B5" s="152" t="s">
        <v>345</v>
      </c>
      <c r="C5" s="154">
        <f>INDEX('📊 ДОПУЩЕНИЯ'!$C$5:$N$5,1,C4)</f>
        <v>1</v>
      </c>
      <c r="D5" s="154">
        <f>INDEX('📊 ДОПУЩЕНИЯ'!$C$5:$N$5,1,D4)</f>
        <v>1.05</v>
      </c>
      <c r="E5" s="154">
        <f>INDEX('📊 ДОПУЩЕНИЯ'!$C$5:$N$5,1,E4)</f>
        <v>1.1000000000000001</v>
      </c>
      <c r="F5" s="154">
        <f>INDEX('📊 ДОПУЩЕНИЯ'!$C$5:$N$5,1,F4)</f>
        <v>1.1000000000000001</v>
      </c>
      <c r="G5" s="154">
        <f>INDEX('📊 ДОПУЩЕНИЯ'!$C$5:$N$5,1,G4)</f>
        <v>1.05</v>
      </c>
      <c r="H5" s="154">
        <f>INDEX('📊 ДОПУЩЕНИЯ'!$C$5:$N$5,1,H4)</f>
        <v>1</v>
      </c>
      <c r="I5" s="154">
        <f>INDEX('📊 ДОПУЩЕНИЯ'!$C$5:$N$5,1,I4)</f>
        <v>0.95</v>
      </c>
      <c r="J5" s="154">
        <f>INDEX('📊 ДОПУЩЕНИЯ'!$C$5:$N$5,1,J4)</f>
        <v>0.95</v>
      </c>
      <c r="K5" s="154">
        <f>INDEX('📊 ДОПУЩЕНИЯ'!$C$5:$N$5,1,K4)</f>
        <v>1.2</v>
      </c>
      <c r="L5" s="154">
        <f>INDEX('📊 ДОПУЩЕНИЯ'!$C$5:$N$5,1,L4)</f>
        <v>0.85</v>
      </c>
      <c r="M5" s="154">
        <f>INDEX('📊 ДОПУЩЕНИЯ'!$C$5:$N$5,1,M4)</f>
        <v>0.85</v>
      </c>
      <c r="N5" s="154">
        <f>INDEX('📊 ДОПУЩЕНИЯ'!$C$5:$N$5,1,N4)</f>
        <v>0.9</v>
      </c>
      <c r="O5" s="154">
        <f>INDEX('📊 ДОПУЩЕНИЯ'!$C$5:$N$5,1,O4)</f>
        <v>1</v>
      </c>
      <c r="P5" s="154">
        <f>INDEX('📊 ДОПУЩЕНИЯ'!$C$5:$N$5,1,P4)</f>
        <v>1.05</v>
      </c>
      <c r="Q5" s="154">
        <f>INDEX('📊 ДОПУЩЕНИЯ'!$C$5:$N$5,1,Q4)</f>
        <v>1.1000000000000001</v>
      </c>
      <c r="R5" s="154">
        <f>INDEX('📊 ДОПУЩЕНИЯ'!$C$5:$N$5,1,R4)</f>
        <v>1.1000000000000001</v>
      </c>
      <c r="S5" s="154">
        <f>INDEX('📊 ДОПУЩЕНИЯ'!$C$5:$N$5,1,S4)</f>
        <v>1.05</v>
      </c>
      <c r="T5" s="154">
        <f>INDEX('📊 ДОПУЩЕНИЯ'!$C$5:$N$5,1,T4)</f>
        <v>1</v>
      </c>
      <c r="U5" s="154">
        <f>INDEX('📊 ДОПУЩЕНИЯ'!$C$5:$N$5,1,U4)</f>
        <v>0.95</v>
      </c>
      <c r="V5" s="154">
        <f>INDEX('📊 ДОПУЩЕНИЯ'!$C$5:$N$5,1,V4)</f>
        <v>0.95</v>
      </c>
      <c r="W5" s="154">
        <f>INDEX('📊 ДОПУЩЕНИЯ'!$C$5:$N$5,1,W4)</f>
        <v>1.2</v>
      </c>
      <c r="X5" s="154">
        <f>INDEX('📊 ДОПУЩЕНИЯ'!$C$5:$N$5,1,X4)</f>
        <v>0.85</v>
      </c>
      <c r="Y5" s="154">
        <f>INDEX('📊 ДОПУЩЕНИЯ'!$C$5:$N$5,1,Y4)</f>
        <v>0.85</v>
      </c>
      <c r="Z5" s="154">
        <f>INDEX('📊 ДОПУЩЕНИЯ'!$C$5:$N$5,1,Z4)</f>
        <v>0.9</v>
      </c>
      <c r="AA5" s="154">
        <f>INDEX('📊 ДОПУЩЕНИЯ'!$C$5:$N$5,1,AA4)</f>
        <v>1</v>
      </c>
      <c r="AB5" s="154">
        <f>INDEX('📊 ДОПУЩЕНИЯ'!$C$5:$N$5,1,AB4)</f>
        <v>1.05</v>
      </c>
      <c r="AC5" s="154">
        <f>INDEX('📊 ДОПУЩЕНИЯ'!$C$5:$N$5,1,AC4)</f>
        <v>1.1000000000000001</v>
      </c>
      <c r="AD5" s="154">
        <f>INDEX('📊 ДОПУЩЕНИЯ'!$C$5:$N$5,1,AD4)</f>
        <v>1.1000000000000001</v>
      </c>
      <c r="AE5" s="154">
        <f>INDEX('📊 ДОПУЩЕНИЯ'!$C$5:$N$5,1,AE4)</f>
        <v>1.05</v>
      </c>
      <c r="AF5" s="154">
        <f>INDEX('📊 ДОПУЩЕНИЯ'!$C$5:$N$5,1,AF4)</f>
        <v>1</v>
      </c>
      <c r="AG5" s="154">
        <f>INDEX('📊 ДОПУЩЕНИЯ'!$C$5:$N$5,1,AG4)</f>
        <v>0.95</v>
      </c>
      <c r="AH5" s="154">
        <f>INDEX('📊 ДОПУЩЕНИЯ'!$C$5:$N$5,1,AH4)</f>
        <v>0.95</v>
      </c>
      <c r="AI5" s="154">
        <f>INDEX('📊 ДОПУЩЕНИЯ'!$C$5:$N$5,1,AI4)</f>
        <v>1.2</v>
      </c>
      <c r="AJ5" s="154">
        <f>INDEX('📊 ДОПУЩЕНИЯ'!$C$5:$N$5,1,AJ4)</f>
        <v>0.85</v>
      </c>
      <c r="AK5" s="154">
        <f>INDEX('📊 ДОПУЩЕНИЯ'!$C$5:$N$5,1,AK4)</f>
        <v>0.85</v>
      </c>
      <c r="AL5" s="154">
        <f>INDEX('📊 ДОПУЩЕНИЯ'!$C$5:$N$5,1,AL4)</f>
        <v>0.9</v>
      </c>
    </row>
    <row r="6" spans="1:38" x14ac:dyDescent="0.25">
      <c r="A6" s="152"/>
      <c r="B6" s="152" t="s">
        <v>346</v>
      </c>
      <c r="C6" s="154">
        <f t="array" ref="C6">INDEX('📊 ДОПУЩЕНИЯ'!$C$17:$N$19,INT((COLUMN()-3)/12)+1,MOD(COLUMN()-3,12)+1)</f>
        <v>0.4</v>
      </c>
      <c r="D6" s="154">
        <f t="array" ref="D6">INDEX('📊 ДОПУЩЕНИЯ'!$C$17:$N$19,INT((COLUMN()-3)/12)+1,MOD(COLUMN()-3,12)+1)</f>
        <v>0.7</v>
      </c>
      <c r="E6" s="154">
        <f t="array" ref="E6">INDEX('📊 ДОПУЩЕНИЯ'!$C$17:$N$19,INT((COLUMN()-3)/12)+1,MOD(COLUMN()-3,12)+1)</f>
        <v>1</v>
      </c>
      <c r="F6" s="154">
        <f t="array" ref="F6">INDEX('📊 ДОПУЩЕНИЯ'!$C$17:$N$19,INT((COLUMN()-3)/12)+1,MOD(COLUMN()-3,12)+1)</f>
        <v>1</v>
      </c>
      <c r="G6" s="154">
        <f t="array" ref="G6">INDEX('📊 ДОПУЩЕНИЯ'!$C$17:$N$19,INT((COLUMN()-3)/12)+1,MOD(COLUMN()-3,12)+1)</f>
        <v>1</v>
      </c>
      <c r="H6" s="154">
        <f t="array" ref="H6">INDEX('📊 ДОПУЩЕНИЯ'!$C$17:$N$19,INT((COLUMN()-3)/12)+1,MOD(COLUMN()-3,12)+1)</f>
        <v>1</v>
      </c>
      <c r="I6" s="154">
        <f t="array" ref="I6">INDEX('📊 ДОПУЩЕНИЯ'!$C$17:$N$19,INT((COLUMN()-3)/12)+1,MOD(COLUMN()-3,12)+1)</f>
        <v>1</v>
      </c>
      <c r="J6" s="154">
        <f t="array" ref="J6">INDEX('📊 ДОПУЩЕНИЯ'!$C$17:$N$19,INT((COLUMN()-3)/12)+1,MOD(COLUMN()-3,12)+1)</f>
        <v>1</v>
      </c>
      <c r="K6" s="154">
        <f t="array" ref="K6">INDEX('📊 ДОПУЩЕНИЯ'!$C$17:$N$19,INT((COLUMN()-3)/12)+1,MOD(COLUMN()-3,12)+1)</f>
        <v>1</v>
      </c>
      <c r="L6" s="154">
        <f t="array" ref="L6">INDEX('📊 ДОПУЩЕНИЯ'!$C$17:$N$19,INT((COLUMN()-3)/12)+1,MOD(COLUMN()-3,12)+1)</f>
        <v>1</v>
      </c>
      <c r="M6" s="154">
        <f t="array" ref="M6">INDEX('📊 ДОПУЩЕНИЯ'!$C$17:$N$19,INT((COLUMN()-3)/12)+1,MOD(COLUMN()-3,12)+1)</f>
        <v>1</v>
      </c>
      <c r="N6" s="154">
        <f t="array" ref="N6">INDEX('📊 ДОПУЩЕНИЯ'!$C$17:$N$19,INT((COLUMN()-3)/12)+1,MOD(COLUMN()-3,12)+1)</f>
        <v>1</v>
      </c>
      <c r="O6" s="154">
        <f t="array" ref="O6">INDEX('📊 ДОПУЩЕНИЯ'!$C$17:$N$19,INT((COLUMN()-3)/12)+1,MOD(COLUMN()-3,12)+1)</f>
        <v>1</v>
      </c>
      <c r="P6" s="154">
        <f t="array" ref="P6">INDEX('📊 ДОПУЩЕНИЯ'!$C$17:$N$19,INT((COLUMN()-3)/12)+1,MOD(COLUMN()-3,12)+1)</f>
        <v>1</v>
      </c>
      <c r="Q6" s="154">
        <f t="array" ref="Q6">INDEX('📊 ДОПУЩЕНИЯ'!$C$17:$N$19,INT((COLUMN()-3)/12)+1,MOD(COLUMN()-3,12)+1)</f>
        <v>1</v>
      </c>
      <c r="R6" s="154">
        <f t="array" ref="R6">INDEX('📊 ДОПУЩЕНИЯ'!$C$17:$N$19,INT((COLUMN()-3)/12)+1,MOD(COLUMN()-3,12)+1)</f>
        <v>1</v>
      </c>
      <c r="S6" s="154">
        <f t="array" ref="S6">INDEX('📊 ДОПУЩЕНИЯ'!$C$17:$N$19,INT((COLUMN()-3)/12)+1,MOD(COLUMN()-3,12)+1)</f>
        <v>1</v>
      </c>
      <c r="T6" s="154">
        <f t="array" ref="T6">INDEX('📊 ДОПУЩЕНИЯ'!$C$17:$N$19,INT((COLUMN()-3)/12)+1,MOD(COLUMN()-3,12)+1)</f>
        <v>1</v>
      </c>
      <c r="U6" s="154">
        <f t="array" ref="U6">INDEX('📊 ДОПУЩЕНИЯ'!$C$17:$N$19,INT((COLUMN()-3)/12)+1,MOD(COLUMN()-3,12)+1)</f>
        <v>1</v>
      </c>
      <c r="V6" s="154">
        <f t="array" ref="V6">INDEX('📊 ДОПУЩЕНИЯ'!$C$17:$N$19,INT((COLUMN()-3)/12)+1,MOD(COLUMN()-3,12)+1)</f>
        <v>1</v>
      </c>
      <c r="W6" s="154">
        <f t="array" ref="W6">INDEX('📊 ДОПУЩЕНИЯ'!$C$17:$N$19,INT((COLUMN()-3)/12)+1,MOD(COLUMN()-3,12)+1)</f>
        <v>1</v>
      </c>
      <c r="X6" s="154">
        <f t="array" ref="X6">INDEX('📊 ДОПУЩЕНИЯ'!$C$17:$N$19,INT((COLUMN()-3)/12)+1,MOD(COLUMN()-3,12)+1)</f>
        <v>1</v>
      </c>
      <c r="Y6" s="154">
        <f t="array" ref="Y6">INDEX('📊 ДОПУЩЕНИЯ'!$C$17:$N$19,INT((COLUMN()-3)/12)+1,MOD(COLUMN()-3,12)+1)</f>
        <v>1</v>
      </c>
      <c r="Z6" s="154">
        <f t="array" ref="Z6">INDEX('📊 ДОПУЩЕНИЯ'!$C$17:$N$19,INT((COLUMN()-3)/12)+1,MOD(COLUMN()-3,12)+1)</f>
        <v>1</v>
      </c>
      <c r="AA6" s="154">
        <f t="array" ref="AA6">INDEX('📊 ДОПУЩЕНИЯ'!$C$17:$N$19,INT((COLUMN()-3)/12)+1,MOD(COLUMN()-3,12)+1)</f>
        <v>1</v>
      </c>
      <c r="AB6" s="154">
        <f t="array" ref="AB6">INDEX('📊 ДОПУЩЕНИЯ'!$C$17:$N$19,INT((COLUMN()-3)/12)+1,MOD(COLUMN()-3,12)+1)</f>
        <v>1</v>
      </c>
      <c r="AC6" s="154">
        <f t="array" ref="AC6">INDEX('📊 ДОПУЩЕНИЯ'!$C$17:$N$19,INT((COLUMN()-3)/12)+1,MOD(COLUMN()-3,12)+1)</f>
        <v>1</v>
      </c>
      <c r="AD6" s="154">
        <f t="array" ref="AD6">INDEX('📊 ДОПУЩЕНИЯ'!$C$17:$N$19,INT((COLUMN()-3)/12)+1,MOD(COLUMN()-3,12)+1)</f>
        <v>1</v>
      </c>
      <c r="AE6" s="154">
        <f t="array" ref="AE6">INDEX('📊 ДОПУЩЕНИЯ'!$C$17:$N$19,INT((COLUMN()-3)/12)+1,MOD(COLUMN()-3,12)+1)</f>
        <v>1</v>
      </c>
      <c r="AF6" s="154">
        <f t="array" ref="AF6">INDEX('📊 ДОПУЩЕНИЯ'!$C$17:$N$19,INT((COLUMN()-3)/12)+1,MOD(COLUMN()-3,12)+1)</f>
        <v>1</v>
      </c>
      <c r="AG6" s="154">
        <f t="array" ref="AG6">INDEX('📊 ДОПУЩЕНИЯ'!$C$17:$N$19,INT((COLUMN()-3)/12)+1,MOD(COLUMN()-3,12)+1)</f>
        <v>1</v>
      </c>
      <c r="AH6" s="154">
        <f t="array" ref="AH6">INDEX('📊 ДОПУЩЕНИЯ'!$C$17:$N$19,INT((COLUMN()-3)/12)+1,MOD(COLUMN()-3,12)+1)</f>
        <v>1</v>
      </c>
      <c r="AI6" s="154">
        <f t="array" ref="AI6">INDEX('📊 ДОПУЩЕНИЯ'!$C$17:$N$19,INT((COLUMN()-3)/12)+1,MOD(COLUMN()-3,12)+1)</f>
        <v>1</v>
      </c>
      <c r="AJ6" s="154">
        <f t="array" ref="AJ6">INDEX('📊 ДОПУЩЕНИЯ'!$C$17:$N$19,INT((COLUMN()-3)/12)+1,MOD(COLUMN()-3,12)+1)</f>
        <v>1</v>
      </c>
      <c r="AK6" s="154">
        <f t="array" ref="AK6">INDEX('📊 ДОПУЩЕНИЯ'!$C$17:$N$19,INT((COLUMN()-3)/12)+1,MOD(COLUMN()-3,12)+1)</f>
        <v>1</v>
      </c>
      <c r="AL6" s="154">
        <f t="array" ref="AL6">INDEX('📊 ДОПУЩЕНИЯ'!$C$17:$N$19,INT((COLUMN()-3)/12)+1,MOD(COLUMN()-3,12)+1)</f>
        <v>1</v>
      </c>
    </row>
    <row r="7" spans="1:38" s="72" customFormat="1" ht="12.75" customHeight="1" x14ac:dyDescent="0.25">
      <c r="A7" s="46"/>
      <c r="B7" s="2" t="s">
        <v>347</v>
      </c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  <c r="AA7" s="2"/>
      <c r="AB7" s="2"/>
      <c r="AC7" s="2"/>
      <c r="AD7" s="2"/>
      <c r="AE7" s="2"/>
      <c r="AF7" s="2"/>
      <c r="AG7" s="2"/>
      <c r="AH7" s="2"/>
      <c r="AI7" s="2"/>
      <c r="AJ7" s="2"/>
      <c r="AK7" s="2"/>
      <c r="AL7" s="2"/>
    </row>
    <row r="8" spans="1:38" x14ac:dyDescent="0.25">
      <c r="A8" s="152"/>
      <c r="B8" s="152" t="s">
        <v>348</v>
      </c>
      <c r="C8" s="155">
        <f>(1+'⚙️ ПАРАМЕТРЫ'!$C$15)^INT((1-1)/12)</f>
        <v>1</v>
      </c>
      <c r="D8" s="155">
        <f>(1+'⚙️ ПАРАМЕТРЫ'!$C$15)^INT((2-1)/12)</f>
        <v>1</v>
      </c>
      <c r="E8" s="155">
        <f>(1+'⚙️ ПАРАМЕТРЫ'!$C$15)^INT((3-1)/12)</f>
        <v>1</v>
      </c>
      <c r="F8" s="155">
        <f>(1+'⚙️ ПАРАМЕТРЫ'!$C$15)^INT((4-1)/12)</f>
        <v>1</v>
      </c>
      <c r="G8" s="155">
        <f>(1+'⚙️ ПАРАМЕТРЫ'!$C$15)^INT((5-1)/12)</f>
        <v>1</v>
      </c>
      <c r="H8" s="155">
        <f>(1+'⚙️ ПАРАМЕТРЫ'!$C$15)^INT((6-1)/12)</f>
        <v>1</v>
      </c>
      <c r="I8" s="155">
        <f>(1+'⚙️ ПАРАМЕТРЫ'!$C$15)^INT((7-1)/12)</f>
        <v>1</v>
      </c>
      <c r="J8" s="155">
        <f>(1+'⚙️ ПАРАМЕТРЫ'!$C$15)^INT((8-1)/12)</f>
        <v>1</v>
      </c>
      <c r="K8" s="155">
        <f>(1+'⚙️ ПАРАМЕТРЫ'!$C$15)^INT((9-1)/12)</f>
        <v>1</v>
      </c>
      <c r="L8" s="155">
        <f>(1+'⚙️ ПАРАМЕТРЫ'!$C$15)^INT((10-1)/12)</f>
        <v>1</v>
      </c>
      <c r="M8" s="155">
        <f>(1+'⚙️ ПАРАМЕТРЫ'!$C$15)^INT((11-1)/12)</f>
        <v>1</v>
      </c>
      <c r="N8" s="155">
        <f>(1+'⚙️ ПАРАМЕТРЫ'!$C$15)^INT((12-1)/12)</f>
        <v>1</v>
      </c>
      <c r="O8" s="155">
        <f>(1+'⚙️ ПАРАМЕТРЫ'!$C$15)^INT((13-1)/12)</f>
        <v>1.07</v>
      </c>
      <c r="P8" s="155">
        <f>(1+'⚙️ ПАРАМЕТРЫ'!$C$15)^INT((14-1)/12)</f>
        <v>1.07</v>
      </c>
      <c r="Q8" s="155">
        <f>(1+'⚙️ ПАРАМЕТРЫ'!$C$15)^INT((15-1)/12)</f>
        <v>1.07</v>
      </c>
      <c r="R8" s="155">
        <f>(1+'⚙️ ПАРАМЕТРЫ'!$C$15)^INT((16-1)/12)</f>
        <v>1.07</v>
      </c>
      <c r="S8" s="155">
        <f>(1+'⚙️ ПАРАМЕТРЫ'!$C$15)^INT((17-1)/12)</f>
        <v>1.07</v>
      </c>
      <c r="T8" s="155">
        <f>(1+'⚙️ ПАРАМЕТРЫ'!$C$15)^INT((18-1)/12)</f>
        <v>1.07</v>
      </c>
      <c r="U8" s="155">
        <f>(1+'⚙️ ПАРАМЕТРЫ'!$C$15)^INT((19-1)/12)</f>
        <v>1.07</v>
      </c>
      <c r="V8" s="155">
        <f>(1+'⚙️ ПАРАМЕТРЫ'!$C$15)^INT((20-1)/12)</f>
        <v>1.07</v>
      </c>
      <c r="W8" s="155">
        <f>(1+'⚙️ ПАРАМЕТРЫ'!$C$15)^INT((21-1)/12)</f>
        <v>1.07</v>
      </c>
      <c r="X8" s="155">
        <f>(1+'⚙️ ПАРАМЕТРЫ'!$C$15)^INT((22-1)/12)</f>
        <v>1.07</v>
      </c>
      <c r="Y8" s="155">
        <f>(1+'⚙️ ПАРАМЕТРЫ'!$C$15)^INT((23-1)/12)</f>
        <v>1.07</v>
      </c>
      <c r="Z8" s="155">
        <f>(1+'⚙️ ПАРАМЕТРЫ'!$C$15)^INT((24-1)/12)</f>
        <v>1.07</v>
      </c>
      <c r="AA8" s="155">
        <f>(1+'⚙️ ПАРАМЕТРЫ'!$C$15)^INT((25-1)/12)</f>
        <v>1.1449</v>
      </c>
      <c r="AB8" s="155">
        <f>(1+'⚙️ ПАРАМЕТРЫ'!$C$15)^INT((26-1)/12)</f>
        <v>1.1449</v>
      </c>
      <c r="AC8" s="155">
        <f>(1+'⚙️ ПАРАМЕТРЫ'!$C$15)^INT((27-1)/12)</f>
        <v>1.1449</v>
      </c>
      <c r="AD8" s="155">
        <f>(1+'⚙️ ПАРАМЕТРЫ'!$C$15)^INT((28-1)/12)</f>
        <v>1.1449</v>
      </c>
      <c r="AE8" s="155">
        <f>(1+'⚙️ ПАРАМЕТРЫ'!$C$15)^INT((29-1)/12)</f>
        <v>1.1449</v>
      </c>
      <c r="AF8" s="155">
        <f>(1+'⚙️ ПАРАМЕТРЫ'!$C$15)^INT((30-1)/12)</f>
        <v>1.1449</v>
      </c>
      <c r="AG8" s="155">
        <f>(1+'⚙️ ПАРАМЕТРЫ'!$C$15)^INT((31-1)/12)</f>
        <v>1.1449</v>
      </c>
      <c r="AH8" s="155">
        <f>(1+'⚙️ ПАРАМЕТРЫ'!$C$15)^INT((32-1)/12)</f>
        <v>1.1449</v>
      </c>
      <c r="AI8" s="155">
        <f>(1+'⚙️ ПАРАМЕТРЫ'!$C$15)^INT((33-1)/12)</f>
        <v>1.1449</v>
      </c>
      <c r="AJ8" s="155">
        <f>(1+'⚙️ ПАРАМЕТРЫ'!$C$15)^INT((34-1)/12)</f>
        <v>1.1449</v>
      </c>
      <c r="AK8" s="155">
        <f>(1+'⚙️ ПАРАМЕТРЫ'!$C$15)^INT((35-1)/12)</f>
        <v>1.1449</v>
      </c>
      <c r="AL8" s="155">
        <f>(1+'⚙️ ПАРАМЕТРЫ'!$C$15)^INT((36-1)/12)</f>
        <v>1.1449</v>
      </c>
    </row>
    <row r="9" spans="1:38" x14ac:dyDescent="0.25">
      <c r="A9" s="152"/>
      <c r="B9" s="152" t="s">
        <v>349</v>
      </c>
      <c r="C9" s="155">
        <f>(1+'⚙️ ПАРАМЕТРЫ'!$C$16)^INT((1-1)/12)</f>
        <v>1</v>
      </c>
      <c r="D9" s="155">
        <f>(1+'⚙️ ПАРАМЕТРЫ'!$C$16)^INT((2-1)/12)</f>
        <v>1</v>
      </c>
      <c r="E9" s="155">
        <f>(1+'⚙️ ПАРАМЕТРЫ'!$C$16)^INT((3-1)/12)</f>
        <v>1</v>
      </c>
      <c r="F9" s="155">
        <f>(1+'⚙️ ПАРАМЕТРЫ'!$C$16)^INT((4-1)/12)</f>
        <v>1</v>
      </c>
      <c r="G9" s="155">
        <f>(1+'⚙️ ПАРАМЕТРЫ'!$C$16)^INT((5-1)/12)</f>
        <v>1</v>
      </c>
      <c r="H9" s="155">
        <f>(1+'⚙️ ПАРАМЕТРЫ'!$C$16)^INT((6-1)/12)</f>
        <v>1</v>
      </c>
      <c r="I9" s="155">
        <f>(1+'⚙️ ПАРАМЕТРЫ'!$C$16)^INT((7-1)/12)</f>
        <v>1</v>
      </c>
      <c r="J9" s="155">
        <f>(1+'⚙️ ПАРАМЕТРЫ'!$C$16)^INT((8-1)/12)</f>
        <v>1</v>
      </c>
      <c r="K9" s="155">
        <f>(1+'⚙️ ПАРАМЕТРЫ'!$C$16)^INT((9-1)/12)</f>
        <v>1</v>
      </c>
      <c r="L9" s="155">
        <f>(1+'⚙️ ПАРАМЕТРЫ'!$C$16)^INT((10-1)/12)</f>
        <v>1</v>
      </c>
      <c r="M9" s="155">
        <f>(1+'⚙️ ПАРАМЕТРЫ'!$C$16)^INT((11-1)/12)</f>
        <v>1</v>
      </c>
      <c r="N9" s="155">
        <f>(1+'⚙️ ПАРАМЕТРЫ'!$C$16)^INT((12-1)/12)</f>
        <v>1</v>
      </c>
      <c r="O9" s="155">
        <f>(1+'⚙️ ПАРАМЕТРЫ'!$C$16)^INT((13-1)/12)</f>
        <v>1.08</v>
      </c>
      <c r="P9" s="155">
        <f>(1+'⚙️ ПАРАМЕТРЫ'!$C$16)^INT((14-1)/12)</f>
        <v>1.08</v>
      </c>
      <c r="Q9" s="155">
        <f>(1+'⚙️ ПАРАМЕТРЫ'!$C$16)^INT((15-1)/12)</f>
        <v>1.08</v>
      </c>
      <c r="R9" s="155">
        <f>(1+'⚙️ ПАРАМЕТРЫ'!$C$16)^INT((16-1)/12)</f>
        <v>1.08</v>
      </c>
      <c r="S9" s="155">
        <f>(1+'⚙️ ПАРАМЕТРЫ'!$C$16)^INT((17-1)/12)</f>
        <v>1.08</v>
      </c>
      <c r="T9" s="155">
        <f>(1+'⚙️ ПАРАМЕТРЫ'!$C$16)^INT((18-1)/12)</f>
        <v>1.08</v>
      </c>
      <c r="U9" s="155">
        <f>(1+'⚙️ ПАРАМЕТРЫ'!$C$16)^INT((19-1)/12)</f>
        <v>1.08</v>
      </c>
      <c r="V9" s="155">
        <f>(1+'⚙️ ПАРАМЕТРЫ'!$C$16)^INT((20-1)/12)</f>
        <v>1.08</v>
      </c>
      <c r="W9" s="155">
        <f>(1+'⚙️ ПАРАМЕТРЫ'!$C$16)^INT((21-1)/12)</f>
        <v>1.08</v>
      </c>
      <c r="X9" s="155">
        <f>(1+'⚙️ ПАРАМЕТРЫ'!$C$16)^INT((22-1)/12)</f>
        <v>1.08</v>
      </c>
      <c r="Y9" s="155">
        <f>(1+'⚙️ ПАРАМЕТРЫ'!$C$16)^INT((23-1)/12)</f>
        <v>1.08</v>
      </c>
      <c r="Z9" s="155">
        <f>(1+'⚙️ ПАРАМЕТРЫ'!$C$16)^INT((24-1)/12)</f>
        <v>1.08</v>
      </c>
      <c r="AA9" s="155">
        <f>(1+'⚙️ ПАРАМЕТРЫ'!$C$16)^INT((25-1)/12)</f>
        <v>1.1664000000000001</v>
      </c>
      <c r="AB9" s="155">
        <f>(1+'⚙️ ПАРАМЕТРЫ'!$C$16)^INT((26-1)/12)</f>
        <v>1.1664000000000001</v>
      </c>
      <c r="AC9" s="155">
        <f>(1+'⚙️ ПАРАМЕТРЫ'!$C$16)^INT((27-1)/12)</f>
        <v>1.1664000000000001</v>
      </c>
      <c r="AD9" s="155">
        <f>(1+'⚙️ ПАРАМЕТРЫ'!$C$16)^INT((28-1)/12)</f>
        <v>1.1664000000000001</v>
      </c>
      <c r="AE9" s="155">
        <f>(1+'⚙️ ПАРАМЕТРЫ'!$C$16)^INT((29-1)/12)</f>
        <v>1.1664000000000001</v>
      </c>
      <c r="AF9" s="155">
        <f>(1+'⚙️ ПАРАМЕТРЫ'!$C$16)^INT((30-1)/12)</f>
        <v>1.1664000000000001</v>
      </c>
      <c r="AG9" s="155">
        <f>(1+'⚙️ ПАРАМЕТРЫ'!$C$16)^INT((31-1)/12)</f>
        <v>1.1664000000000001</v>
      </c>
      <c r="AH9" s="155">
        <f>(1+'⚙️ ПАРАМЕТРЫ'!$C$16)^INT((32-1)/12)</f>
        <v>1.1664000000000001</v>
      </c>
      <c r="AI9" s="155">
        <f>(1+'⚙️ ПАРАМЕТРЫ'!$C$16)^INT((33-1)/12)</f>
        <v>1.1664000000000001</v>
      </c>
      <c r="AJ9" s="155">
        <f>(1+'⚙️ ПАРАМЕТРЫ'!$C$16)^INT((34-1)/12)</f>
        <v>1.1664000000000001</v>
      </c>
      <c r="AK9" s="155">
        <f>(1+'⚙️ ПАРАМЕТРЫ'!$C$16)^INT((35-1)/12)</f>
        <v>1.1664000000000001</v>
      </c>
      <c r="AL9" s="155">
        <f>(1+'⚙️ ПАРАМЕТРЫ'!$C$16)^INT((36-1)/12)</f>
        <v>1.1664000000000001</v>
      </c>
    </row>
    <row r="10" spans="1:38" x14ac:dyDescent="0.25">
      <c r="A10" s="60"/>
      <c r="B10" s="60" t="s">
        <v>350</v>
      </c>
      <c r="C10" s="156">
        <f>ROUND('⚙️ ПАРАМЕТРЫ'!$C$13*C5*C6*C8,0)</f>
        <v>28</v>
      </c>
      <c r="D10" s="156">
        <f>ROUND('⚙️ ПАРАМЕТРЫ'!$C$13*D5*D6*D8,0)</f>
        <v>51</v>
      </c>
      <c r="E10" s="156">
        <f>ROUND('⚙️ ПАРАМЕТРЫ'!$C$13*E5*E6*E8,0)</f>
        <v>77</v>
      </c>
      <c r="F10" s="156">
        <f>ROUND('⚙️ ПАРАМЕТРЫ'!$C$13*F5*F6*F8,0)</f>
        <v>77</v>
      </c>
      <c r="G10" s="156">
        <f>ROUND('⚙️ ПАРАМЕТРЫ'!$C$13*G5*G6*G8,0)</f>
        <v>74</v>
      </c>
      <c r="H10" s="156">
        <f>ROUND('⚙️ ПАРАМЕТРЫ'!$C$13*H5*H6*H8,0)</f>
        <v>70</v>
      </c>
      <c r="I10" s="156">
        <f>ROUND('⚙️ ПАРАМЕТРЫ'!$C$13*I5*I6*I8,0)</f>
        <v>67</v>
      </c>
      <c r="J10" s="156">
        <f>ROUND('⚙️ ПАРАМЕТРЫ'!$C$13*J5*J6*J8,0)</f>
        <v>67</v>
      </c>
      <c r="K10" s="156">
        <f>ROUND('⚙️ ПАРАМЕТРЫ'!$C$13*K5*K6*K8,0)</f>
        <v>84</v>
      </c>
      <c r="L10" s="156">
        <f>ROUND('⚙️ ПАРАМЕТРЫ'!$C$13*L5*L6*L8,0)</f>
        <v>60</v>
      </c>
      <c r="M10" s="156">
        <f>ROUND('⚙️ ПАРАМЕТРЫ'!$C$13*M5*M6*M8,0)</f>
        <v>60</v>
      </c>
      <c r="N10" s="156">
        <f>ROUND('⚙️ ПАРАМЕТРЫ'!$C$13*N5*N6*N8,0)</f>
        <v>63</v>
      </c>
      <c r="O10" s="156">
        <f>ROUND('⚙️ ПАРАМЕТРЫ'!$C$13*O5*O6*O8,0)</f>
        <v>75</v>
      </c>
      <c r="P10" s="156">
        <f>ROUND('⚙️ ПАРАМЕТРЫ'!$C$13*P5*P6*P8,0)</f>
        <v>79</v>
      </c>
      <c r="Q10" s="156">
        <f>ROUND('⚙️ ПАРАМЕТРЫ'!$C$13*Q5*Q6*Q8,0)</f>
        <v>82</v>
      </c>
      <c r="R10" s="156">
        <f>ROUND('⚙️ ПАРАМЕТРЫ'!$C$13*R5*R6*R8,0)</f>
        <v>82</v>
      </c>
      <c r="S10" s="156">
        <f>ROUND('⚙️ ПАРАМЕТРЫ'!$C$13*S5*S6*S8,0)</f>
        <v>79</v>
      </c>
      <c r="T10" s="156">
        <f>ROUND('⚙️ ПАРАМЕТРЫ'!$C$13*T5*T6*T8,0)</f>
        <v>75</v>
      </c>
      <c r="U10" s="156">
        <f>ROUND('⚙️ ПАРАМЕТРЫ'!$C$13*U5*U6*U8,0)</f>
        <v>71</v>
      </c>
      <c r="V10" s="156">
        <f>ROUND('⚙️ ПАРАМЕТРЫ'!$C$13*V5*V6*V8,0)</f>
        <v>71</v>
      </c>
      <c r="W10" s="156">
        <f>ROUND('⚙️ ПАРАМЕТРЫ'!$C$13*W5*W6*W8,0)</f>
        <v>90</v>
      </c>
      <c r="X10" s="156">
        <f>ROUND('⚙️ ПАРАМЕТРЫ'!$C$13*X5*X6*X8,0)</f>
        <v>64</v>
      </c>
      <c r="Y10" s="156">
        <f>ROUND('⚙️ ПАРАМЕТРЫ'!$C$13*Y5*Y6*Y8,0)</f>
        <v>64</v>
      </c>
      <c r="Z10" s="156">
        <f>ROUND('⚙️ ПАРАМЕТРЫ'!$C$13*Z5*Z6*Z8,0)</f>
        <v>67</v>
      </c>
      <c r="AA10" s="156">
        <f>ROUND('⚙️ ПАРАМЕТРЫ'!$C$13*AA5*AA6*AA8,0)</f>
        <v>80</v>
      </c>
      <c r="AB10" s="156">
        <f>ROUND('⚙️ ПАРАМЕТРЫ'!$C$13*AB5*AB6*AB8,0)</f>
        <v>84</v>
      </c>
      <c r="AC10" s="156">
        <f>ROUND('⚙️ ПАРАМЕТРЫ'!$C$13*AC5*AC6*AC8,0)</f>
        <v>88</v>
      </c>
      <c r="AD10" s="156">
        <f>ROUND('⚙️ ПАРАМЕТРЫ'!$C$13*AD5*AD6*AD8,0)</f>
        <v>88</v>
      </c>
      <c r="AE10" s="156">
        <f>ROUND('⚙️ ПАРАМЕТРЫ'!$C$13*AE5*AE6*AE8,0)</f>
        <v>84</v>
      </c>
      <c r="AF10" s="156">
        <f>ROUND('⚙️ ПАРАМЕТРЫ'!$C$13*AF5*AF6*AF8,0)</f>
        <v>80</v>
      </c>
      <c r="AG10" s="156">
        <f>ROUND('⚙️ ПАРАМЕТРЫ'!$C$13*AG5*AG6*AG8,0)</f>
        <v>76</v>
      </c>
      <c r="AH10" s="156">
        <f>ROUND('⚙️ ПАРАМЕТРЫ'!$C$13*AH5*AH6*AH8,0)</f>
        <v>76</v>
      </c>
      <c r="AI10" s="156">
        <f>ROUND('⚙️ ПАРАМЕТРЫ'!$C$13*AI5*AI6*AI8,0)</f>
        <v>96</v>
      </c>
      <c r="AJ10" s="156">
        <f>ROUND('⚙️ ПАРАМЕТРЫ'!$C$13*AJ5*AJ6*AJ8,0)</f>
        <v>68</v>
      </c>
      <c r="AK10" s="156">
        <f>ROUND('⚙️ ПАРАМЕТРЫ'!$C$13*AK5*AK6*AK8,0)</f>
        <v>68</v>
      </c>
      <c r="AL10" s="156">
        <f>ROUND('⚙️ ПАРАМЕТРЫ'!$C$13*AL5*AL6*AL8,0)</f>
        <v>72</v>
      </c>
    </row>
    <row r="11" spans="1:38" x14ac:dyDescent="0.25">
      <c r="A11" s="60"/>
      <c r="B11" s="60" t="s">
        <v>351</v>
      </c>
      <c r="C11" s="157">
        <f>ROUND('⚙️ ПАРАМЕТРЫ'!$C$12*C9,0)</f>
        <v>1400</v>
      </c>
      <c r="D11" s="157">
        <f>ROUND('⚙️ ПАРАМЕТРЫ'!$C$12*D9,0)</f>
        <v>1400</v>
      </c>
      <c r="E11" s="157">
        <f>ROUND('⚙️ ПАРАМЕТРЫ'!$C$12*E9,0)</f>
        <v>1400</v>
      </c>
      <c r="F11" s="157">
        <f>ROUND('⚙️ ПАРАМЕТРЫ'!$C$12*F9,0)</f>
        <v>1400</v>
      </c>
      <c r="G11" s="157">
        <f>ROUND('⚙️ ПАРАМЕТРЫ'!$C$12*G9,0)</f>
        <v>1400</v>
      </c>
      <c r="H11" s="157">
        <f>ROUND('⚙️ ПАРАМЕТРЫ'!$C$12*H9,0)</f>
        <v>1400</v>
      </c>
      <c r="I11" s="157">
        <f>ROUND('⚙️ ПАРАМЕТРЫ'!$C$12*I9,0)</f>
        <v>1400</v>
      </c>
      <c r="J11" s="157">
        <f>ROUND('⚙️ ПАРАМЕТРЫ'!$C$12*J9,0)</f>
        <v>1400</v>
      </c>
      <c r="K11" s="157">
        <f>ROUND('⚙️ ПАРАМЕТРЫ'!$C$12*K9,0)</f>
        <v>1400</v>
      </c>
      <c r="L11" s="157">
        <f>ROUND('⚙️ ПАРАМЕТРЫ'!$C$12*L9,0)</f>
        <v>1400</v>
      </c>
      <c r="M11" s="157">
        <f>ROUND('⚙️ ПАРАМЕТРЫ'!$C$12*M9,0)</f>
        <v>1400</v>
      </c>
      <c r="N11" s="157">
        <f>ROUND('⚙️ ПАРАМЕТРЫ'!$C$12*N9,0)</f>
        <v>1400</v>
      </c>
      <c r="O11" s="157">
        <f>ROUND('⚙️ ПАРАМЕТРЫ'!$C$12*O9,0)</f>
        <v>1512</v>
      </c>
      <c r="P11" s="157">
        <f>ROUND('⚙️ ПАРАМЕТРЫ'!$C$12*P9,0)</f>
        <v>1512</v>
      </c>
      <c r="Q11" s="157">
        <f>ROUND('⚙️ ПАРАМЕТРЫ'!$C$12*Q9,0)</f>
        <v>1512</v>
      </c>
      <c r="R11" s="157">
        <f>ROUND('⚙️ ПАРАМЕТРЫ'!$C$12*R9,0)</f>
        <v>1512</v>
      </c>
      <c r="S11" s="157">
        <f>ROUND('⚙️ ПАРАМЕТРЫ'!$C$12*S9,0)</f>
        <v>1512</v>
      </c>
      <c r="T11" s="157">
        <f>ROUND('⚙️ ПАРАМЕТРЫ'!$C$12*T9,0)</f>
        <v>1512</v>
      </c>
      <c r="U11" s="157">
        <f>ROUND('⚙️ ПАРАМЕТРЫ'!$C$12*U9,0)</f>
        <v>1512</v>
      </c>
      <c r="V11" s="157">
        <f>ROUND('⚙️ ПАРАМЕТРЫ'!$C$12*V9,0)</f>
        <v>1512</v>
      </c>
      <c r="W11" s="157">
        <f>ROUND('⚙️ ПАРАМЕТРЫ'!$C$12*W9,0)</f>
        <v>1512</v>
      </c>
      <c r="X11" s="157">
        <f>ROUND('⚙️ ПАРАМЕТРЫ'!$C$12*X9,0)</f>
        <v>1512</v>
      </c>
      <c r="Y11" s="157">
        <f>ROUND('⚙️ ПАРАМЕТРЫ'!$C$12*Y9,0)</f>
        <v>1512</v>
      </c>
      <c r="Z11" s="157">
        <f>ROUND('⚙️ ПАРАМЕТРЫ'!$C$12*Z9,0)</f>
        <v>1512</v>
      </c>
      <c r="AA11" s="157">
        <f>ROUND('⚙️ ПАРАМЕТРЫ'!$C$12*AA9,0)</f>
        <v>1633</v>
      </c>
      <c r="AB11" s="157">
        <f>ROUND('⚙️ ПАРАМЕТРЫ'!$C$12*AB9,0)</f>
        <v>1633</v>
      </c>
      <c r="AC11" s="157">
        <f>ROUND('⚙️ ПАРАМЕТРЫ'!$C$12*AC9,0)</f>
        <v>1633</v>
      </c>
      <c r="AD11" s="157">
        <f>ROUND('⚙️ ПАРАМЕТРЫ'!$C$12*AD9,0)</f>
        <v>1633</v>
      </c>
      <c r="AE11" s="157">
        <f>ROUND('⚙️ ПАРАМЕТРЫ'!$C$12*AE9,0)</f>
        <v>1633</v>
      </c>
      <c r="AF11" s="157">
        <f>ROUND('⚙️ ПАРАМЕТРЫ'!$C$12*AF9,0)</f>
        <v>1633</v>
      </c>
      <c r="AG11" s="157">
        <f>ROUND('⚙️ ПАРАМЕТРЫ'!$C$12*AG9,0)</f>
        <v>1633</v>
      </c>
      <c r="AH11" s="157">
        <f>ROUND('⚙️ ПАРАМЕТРЫ'!$C$12*AH9,0)</f>
        <v>1633</v>
      </c>
      <c r="AI11" s="157">
        <f>ROUND('⚙️ ПАРАМЕТРЫ'!$C$12*AI9,0)</f>
        <v>1633</v>
      </c>
      <c r="AJ11" s="157">
        <f>ROUND('⚙️ ПАРАМЕТРЫ'!$C$12*AJ9,0)</f>
        <v>1633</v>
      </c>
      <c r="AK11" s="157">
        <f>ROUND('⚙️ ПАРАМЕТРЫ'!$C$12*AK9,0)</f>
        <v>1633</v>
      </c>
      <c r="AL11" s="157">
        <f>ROUND('⚙️ ПАРАМЕТРЫ'!$C$12*AL9,0)</f>
        <v>1633</v>
      </c>
    </row>
    <row r="12" spans="1:38" s="72" customFormat="1" ht="12.75" customHeight="1" x14ac:dyDescent="0.25">
      <c r="A12" s="158"/>
      <c r="B12" s="158" t="s">
        <v>347</v>
      </c>
      <c r="C12" s="159">
        <f>C10*C11*'⚙️ ПАРАМЕТРЫ'!$C$14</f>
        <v>1176000</v>
      </c>
      <c r="D12" s="159">
        <f>D10*D11*'⚙️ ПАРАМЕТРЫ'!$C$14</f>
        <v>2142000</v>
      </c>
      <c r="E12" s="159">
        <f>E10*E11*'⚙️ ПАРАМЕТРЫ'!$C$14</f>
        <v>3234000</v>
      </c>
      <c r="F12" s="159">
        <f>F10*F11*'⚙️ ПАРАМЕТРЫ'!$C$14</f>
        <v>3234000</v>
      </c>
      <c r="G12" s="159">
        <f>G10*G11*'⚙️ ПАРАМЕТРЫ'!$C$14</f>
        <v>3108000</v>
      </c>
      <c r="H12" s="159">
        <f>H10*H11*'⚙️ ПАРАМЕТРЫ'!$C$14</f>
        <v>2940000</v>
      </c>
      <c r="I12" s="159">
        <f>I10*I11*'⚙️ ПАРАМЕТРЫ'!$C$14</f>
        <v>2814000</v>
      </c>
      <c r="J12" s="159">
        <f>J10*J11*'⚙️ ПАРАМЕТРЫ'!$C$14</f>
        <v>2814000</v>
      </c>
      <c r="K12" s="159">
        <f>K10*K11*'⚙️ ПАРАМЕТРЫ'!$C$14</f>
        <v>3528000</v>
      </c>
      <c r="L12" s="159">
        <f>L10*L11*'⚙️ ПАРАМЕТРЫ'!$C$14</f>
        <v>2520000</v>
      </c>
      <c r="M12" s="159">
        <f>M10*M11*'⚙️ ПАРАМЕТРЫ'!$C$14</f>
        <v>2520000</v>
      </c>
      <c r="N12" s="159">
        <f>N10*N11*'⚙️ ПАРАМЕТРЫ'!$C$14</f>
        <v>2646000</v>
      </c>
      <c r="O12" s="159">
        <f>O10*O11*'⚙️ ПАРАМЕТРЫ'!$C$14</f>
        <v>3402000</v>
      </c>
      <c r="P12" s="159">
        <f>P10*P11*'⚙️ ПАРАМЕТРЫ'!$C$14</f>
        <v>3583440</v>
      </c>
      <c r="Q12" s="159">
        <f>Q10*Q11*'⚙️ ПАРАМЕТРЫ'!$C$14</f>
        <v>3719520</v>
      </c>
      <c r="R12" s="159">
        <f>R10*R11*'⚙️ ПАРАМЕТРЫ'!$C$14</f>
        <v>3719520</v>
      </c>
      <c r="S12" s="159">
        <f>S10*S11*'⚙️ ПАРАМЕТРЫ'!$C$14</f>
        <v>3583440</v>
      </c>
      <c r="T12" s="159">
        <f>T10*T11*'⚙️ ПАРАМЕТРЫ'!$C$14</f>
        <v>3402000</v>
      </c>
      <c r="U12" s="159">
        <f>U10*U11*'⚙️ ПАРАМЕТРЫ'!$C$14</f>
        <v>3220560</v>
      </c>
      <c r="V12" s="159">
        <f>V10*V11*'⚙️ ПАРАМЕТРЫ'!$C$14</f>
        <v>3220560</v>
      </c>
      <c r="W12" s="159">
        <f>W10*W11*'⚙️ ПАРАМЕТРЫ'!$C$14</f>
        <v>4082400</v>
      </c>
      <c r="X12" s="159">
        <f>X10*X11*'⚙️ ПАРАМЕТРЫ'!$C$14</f>
        <v>2903040</v>
      </c>
      <c r="Y12" s="159">
        <f>Y10*Y11*'⚙️ ПАРАМЕТРЫ'!$C$14</f>
        <v>2903040</v>
      </c>
      <c r="Z12" s="159">
        <f>Z10*Z11*'⚙️ ПАРАМЕТРЫ'!$C$14</f>
        <v>3039120</v>
      </c>
      <c r="AA12" s="159">
        <f>AA10*AA11*'⚙️ ПАРАМЕТРЫ'!$C$14</f>
        <v>3919200</v>
      </c>
      <c r="AB12" s="159">
        <f>AB10*AB11*'⚙️ ПАРАМЕТРЫ'!$C$14</f>
        <v>4115160</v>
      </c>
      <c r="AC12" s="159">
        <f>AC10*AC11*'⚙️ ПАРАМЕТРЫ'!$C$14</f>
        <v>4311120</v>
      </c>
      <c r="AD12" s="159">
        <f>AD10*AD11*'⚙️ ПАРАМЕТРЫ'!$C$14</f>
        <v>4311120</v>
      </c>
      <c r="AE12" s="159">
        <f>AE10*AE11*'⚙️ ПАРАМЕТРЫ'!$C$14</f>
        <v>4115160</v>
      </c>
      <c r="AF12" s="159">
        <f>AF10*AF11*'⚙️ ПАРАМЕТРЫ'!$C$14</f>
        <v>3919200</v>
      </c>
      <c r="AG12" s="159">
        <f>AG10*AG11*'⚙️ ПАРАМЕТРЫ'!$C$14</f>
        <v>3723240</v>
      </c>
      <c r="AH12" s="159">
        <f>AH10*AH11*'⚙️ ПАРАМЕТРЫ'!$C$14</f>
        <v>3723240</v>
      </c>
      <c r="AI12" s="159">
        <f>AI10*AI11*'⚙️ ПАРАМЕТРЫ'!$C$14</f>
        <v>4703040</v>
      </c>
      <c r="AJ12" s="159">
        <f>AJ10*AJ11*'⚙️ ПАРАМЕТРЫ'!$C$14</f>
        <v>3331320</v>
      </c>
      <c r="AK12" s="159">
        <f>AK10*AK11*'⚙️ ПАРАМЕТРЫ'!$C$14</f>
        <v>3331320</v>
      </c>
      <c r="AL12" s="159">
        <f>AL10*AL11*'⚙️ ПАРАМЕТРЫ'!$C$14</f>
        <v>3527280</v>
      </c>
    </row>
    <row r="13" spans="1:38" s="72" customFormat="1" ht="12.75" customHeight="1" x14ac:dyDescent="0.25">
      <c r="A13" s="46"/>
      <c r="B13" s="2" t="s">
        <v>352</v>
      </c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  <c r="AA13" s="2"/>
      <c r="AB13" s="2"/>
      <c r="AC13" s="2"/>
      <c r="AD13" s="2"/>
      <c r="AE13" s="2"/>
      <c r="AF13" s="2"/>
      <c r="AG13" s="2"/>
      <c r="AH13" s="2"/>
      <c r="AI13" s="2"/>
      <c r="AJ13" s="2"/>
      <c r="AK13" s="2"/>
      <c r="AL13" s="2"/>
    </row>
    <row r="14" spans="1:38" x14ac:dyDescent="0.25">
      <c r="A14" s="60"/>
      <c r="B14" s="60" t="s">
        <v>353</v>
      </c>
      <c r="C14" s="160">
        <f>ROUND(C12*'⚙️ ПАРАМЕТРЫ'!$C$19,0)</f>
        <v>411600</v>
      </c>
      <c r="D14" s="160">
        <f>ROUND(D12*'⚙️ ПАРАМЕТРЫ'!$C$19,0)</f>
        <v>749700</v>
      </c>
      <c r="E14" s="160">
        <f>ROUND(E12*'⚙️ ПАРАМЕТРЫ'!$C$19,0)</f>
        <v>1131900</v>
      </c>
      <c r="F14" s="160">
        <f>ROUND(F12*'⚙️ ПАРАМЕТРЫ'!$C$19,0)</f>
        <v>1131900</v>
      </c>
      <c r="G14" s="160">
        <f>ROUND(G12*'⚙️ ПАРАМЕТРЫ'!$C$19,0)</f>
        <v>1087800</v>
      </c>
      <c r="H14" s="160">
        <f>ROUND(H12*'⚙️ ПАРАМЕТРЫ'!$C$19,0)</f>
        <v>1029000</v>
      </c>
      <c r="I14" s="160">
        <f>ROUND(I12*'⚙️ ПАРАМЕТРЫ'!$C$19,0)</f>
        <v>984900</v>
      </c>
      <c r="J14" s="160">
        <f>ROUND(J12*'⚙️ ПАРАМЕТРЫ'!$C$19,0)</f>
        <v>984900</v>
      </c>
      <c r="K14" s="160">
        <f>ROUND(K12*'⚙️ ПАРАМЕТРЫ'!$C$19,0)</f>
        <v>1234800</v>
      </c>
      <c r="L14" s="160">
        <f>ROUND(L12*'⚙️ ПАРАМЕТРЫ'!$C$19,0)</f>
        <v>882000</v>
      </c>
      <c r="M14" s="160">
        <f>ROUND(M12*'⚙️ ПАРАМЕТРЫ'!$C$19,0)</f>
        <v>882000</v>
      </c>
      <c r="N14" s="160">
        <f>ROUND(N12*'⚙️ ПАРАМЕТРЫ'!$C$19,0)</f>
        <v>926100</v>
      </c>
      <c r="O14" s="160">
        <f>ROUND(O12*'⚙️ ПАРАМЕТРЫ'!$C$19,0)</f>
        <v>1190700</v>
      </c>
      <c r="P14" s="160">
        <f>ROUND(P12*'⚙️ ПАРАМЕТРЫ'!$C$19,0)</f>
        <v>1254204</v>
      </c>
      <c r="Q14" s="160">
        <f>ROUND(Q12*'⚙️ ПАРАМЕТРЫ'!$C$19,0)</f>
        <v>1301832</v>
      </c>
      <c r="R14" s="160">
        <f>ROUND(R12*'⚙️ ПАРАМЕТРЫ'!$C$19,0)</f>
        <v>1301832</v>
      </c>
      <c r="S14" s="160">
        <f>ROUND(S12*'⚙️ ПАРАМЕТРЫ'!$C$19,0)</f>
        <v>1254204</v>
      </c>
      <c r="T14" s="160">
        <f>ROUND(T12*'⚙️ ПАРАМЕТРЫ'!$C$19,0)</f>
        <v>1190700</v>
      </c>
      <c r="U14" s="160">
        <f>ROUND(U12*'⚙️ ПАРАМЕТРЫ'!$C$19,0)</f>
        <v>1127196</v>
      </c>
      <c r="V14" s="160">
        <f>ROUND(V12*'⚙️ ПАРАМЕТРЫ'!$C$19,0)</f>
        <v>1127196</v>
      </c>
      <c r="W14" s="160">
        <f>ROUND(W12*'⚙️ ПАРАМЕТРЫ'!$C$19,0)</f>
        <v>1428840</v>
      </c>
      <c r="X14" s="160">
        <f>ROUND(X12*'⚙️ ПАРАМЕТРЫ'!$C$19,0)</f>
        <v>1016064</v>
      </c>
      <c r="Y14" s="160">
        <f>ROUND(Y12*'⚙️ ПАРАМЕТРЫ'!$C$19,0)</f>
        <v>1016064</v>
      </c>
      <c r="Z14" s="160">
        <f>ROUND(Z12*'⚙️ ПАРАМЕТРЫ'!$C$19,0)</f>
        <v>1063692</v>
      </c>
      <c r="AA14" s="160">
        <f>ROUND(AA12*'⚙️ ПАРАМЕТРЫ'!$C$19,0)</f>
        <v>1371720</v>
      </c>
      <c r="AB14" s="160">
        <f>ROUND(AB12*'⚙️ ПАРАМЕТРЫ'!$C$19,0)</f>
        <v>1440306</v>
      </c>
      <c r="AC14" s="160">
        <f>ROUND(AC12*'⚙️ ПАРАМЕТРЫ'!$C$19,0)</f>
        <v>1508892</v>
      </c>
      <c r="AD14" s="160">
        <f>ROUND(AD12*'⚙️ ПАРАМЕТРЫ'!$C$19,0)</f>
        <v>1508892</v>
      </c>
      <c r="AE14" s="160">
        <f>ROUND(AE12*'⚙️ ПАРАМЕТРЫ'!$C$19,0)</f>
        <v>1440306</v>
      </c>
      <c r="AF14" s="160">
        <f>ROUND(AF12*'⚙️ ПАРАМЕТРЫ'!$C$19,0)</f>
        <v>1371720</v>
      </c>
      <c r="AG14" s="160">
        <f>ROUND(AG12*'⚙️ ПАРАМЕТРЫ'!$C$19,0)</f>
        <v>1303134</v>
      </c>
      <c r="AH14" s="160">
        <f>ROUND(AH12*'⚙️ ПАРАМЕТРЫ'!$C$19,0)</f>
        <v>1303134</v>
      </c>
      <c r="AI14" s="160">
        <f>ROUND(AI12*'⚙️ ПАРАМЕТРЫ'!$C$19,0)</f>
        <v>1646064</v>
      </c>
      <c r="AJ14" s="160">
        <f>ROUND(AJ12*'⚙️ ПАРАМЕТРЫ'!$C$19,0)</f>
        <v>1165962</v>
      </c>
      <c r="AK14" s="160">
        <f>ROUND(AK12*'⚙️ ПАРАМЕТРЫ'!$C$19,0)</f>
        <v>1165962</v>
      </c>
      <c r="AL14" s="160">
        <f>ROUND(AL12*'⚙️ ПАРАМЕТРЫ'!$C$19,0)</f>
        <v>1234548</v>
      </c>
    </row>
    <row r="15" spans="1:38" x14ac:dyDescent="0.25">
      <c r="A15" s="60"/>
      <c r="B15" s="60" t="s">
        <v>354</v>
      </c>
      <c r="C15" s="160">
        <f>ROUND(C12*'⚙️ ПАРАМЕТРЫ'!$C$20,0)</f>
        <v>35280</v>
      </c>
      <c r="D15" s="160">
        <f>ROUND(D12*'⚙️ ПАРАМЕТРЫ'!$C$20,0)</f>
        <v>64260</v>
      </c>
      <c r="E15" s="160">
        <f>ROUND(E12*'⚙️ ПАРАМЕТРЫ'!$C$20,0)</f>
        <v>97020</v>
      </c>
      <c r="F15" s="160">
        <f>ROUND(F12*'⚙️ ПАРАМЕТРЫ'!$C$20,0)</f>
        <v>97020</v>
      </c>
      <c r="G15" s="160">
        <f>ROUND(G12*'⚙️ ПАРАМЕТРЫ'!$C$20,0)</f>
        <v>93240</v>
      </c>
      <c r="H15" s="160">
        <f>ROUND(H12*'⚙️ ПАРАМЕТРЫ'!$C$20,0)</f>
        <v>88200</v>
      </c>
      <c r="I15" s="160">
        <f>ROUND(I12*'⚙️ ПАРАМЕТРЫ'!$C$20,0)</f>
        <v>84420</v>
      </c>
      <c r="J15" s="160">
        <f>ROUND(J12*'⚙️ ПАРАМЕТРЫ'!$C$20,0)</f>
        <v>84420</v>
      </c>
      <c r="K15" s="160">
        <f>ROUND(K12*'⚙️ ПАРАМЕТРЫ'!$C$20,0)</f>
        <v>105840</v>
      </c>
      <c r="L15" s="160">
        <f>ROUND(L12*'⚙️ ПАРАМЕТРЫ'!$C$20,0)</f>
        <v>75600</v>
      </c>
      <c r="M15" s="160">
        <f>ROUND(M12*'⚙️ ПАРАМЕТРЫ'!$C$20,0)</f>
        <v>75600</v>
      </c>
      <c r="N15" s="160">
        <f>ROUND(N12*'⚙️ ПАРАМЕТРЫ'!$C$20,0)</f>
        <v>79380</v>
      </c>
      <c r="O15" s="160">
        <f>ROUND(O12*'⚙️ ПАРАМЕТРЫ'!$C$20,0)</f>
        <v>102060</v>
      </c>
      <c r="P15" s="160">
        <f>ROUND(P12*'⚙️ ПАРАМЕТРЫ'!$C$20,0)</f>
        <v>107503</v>
      </c>
      <c r="Q15" s="160">
        <f>ROUND(Q12*'⚙️ ПАРАМЕТРЫ'!$C$20,0)</f>
        <v>111586</v>
      </c>
      <c r="R15" s="160">
        <f>ROUND(R12*'⚙️ ПАРАМЕТРЫ'!$C$20,0)</f>
        <v>111586</v>
      </c>
      <c r="S15" s="160">
        <f>ROUND(S12*'⚙️ ПАРАМЕТРЫ'!$C$20,0)</f>
        <v>107503</v>
      </c>
      <c r="T15" s="160">
        <f>ROUND(T12*'⚙️ ПАРАМЕТРЫ'!$C$20,0)</f>
        <v>102060</v>
      </c>
      <c r="U15" s="160">
        <f>ROUND(U12*'⚙️ ПАРАМЕТРЫ'!$C$20,0)</f>
        <v>96617</v>
      </c>
      <c r="V15" s="160">
        <f>ROUND(V12*'⚙️ ПАРАМЕТРЫ'!$C$20,0)</f>
        <v>96617</v>
      </c>
      <c r="W15" s="160">
        <f>ROUND(W12*'⚙️ ПАРАМЕТРЫ'!$C$20,0)</f>
        <v>122472</v>
      </c>
      <c r="X15" s="160">
        <f>ROUND(X12*'⚙️ ПАРАМЕТРЫ'!$C$20,0)</f>
        <v>87091</v>
      </c>
      <c r="Y15" s="160">
        <f>ROUND(Y12*'⚙️ ПАРАМЕТРЫ'!$C$20,0)</f>
        <v>87091</v>
      </c>
      <c r="Z15" s="160">
        <f>ROUND(Z12*'⚙️ ПАРАМЕТРЫ'!$C$20,0)</f>
        <v>91174</v>
      </c>
      <c r="AA15" s="160">
        <f>ROUND(AA12*'⚙️ ПАРАМЕТРЫ'!$C$20,0)</f>
        <v>117576</v>
      </c>
      <c r="AB15" s="160">
        <f>ROUND(AB12*'⚙️ ПАРАМЕТРЫ'!$C$20,0)</f>
        <v>123455</v>
      </c>
      <c r="AC15" s="160">
        <f>ROUND(AC12*'⚙️ ПАРАМЕТРЫ'!$C$20,0)</f>
        <v>129334</v>
      </c>
      <c r="AD15" s="160">
        <f>ROUND(AD12*'⚙️ ПАРАМЕТРЫ'!$C$20,0)</f>
        <v>129334</v>
      </c>
      <c r="AE15" s="160">
        <f>ROUND(AE12*'⚙️ ПАРАМЕТРЫ'!$C$20,0)</f>
        <v>123455</v>
      </c>
      <c r="AF15" s="160">
        <f>ROUND(AF12*'⚙️ ПАРАМЕТРЫ'!$C$20,0)</f>
        <v>117576</v>
      </c>
      <c r="AG15" s="160">
        <f>ROUND(AG12*'⚙️ ПАРАМЕТРЫ'!$C$20,0)</f>
        <v>111697</v>
      </c>
      <c r="AH15" s="160">
        <f>ROUND(AH12*'⚙️ ПАРАМЕТРЫ'!$C$20,0)</f>
        <v>111697</v>
      </c>
      <c r="AI15" s="160">
        <f>ROUND(AI12*'⚙️ ПАРАМЕТРЫ'!$C$20,0)</f>
        <v>141091</v>
      </c>
      <c r="AJ15" s="160">
        <f>ROUND(AJ12*'⚙️ ПАРАМЕТРЫ'!$C$20,0)</f>
        <v>99940</v>
      </c>
      <c r="AK15" s="160">
        <f>ROUND(AK12*'⚙️ ПАРАМЕТРЫ'!$C$20,0)</f>
        <v>99940</v>
      </c>
      <c r="AL15" s="160">
        <f>ROUND(AL12*'⚙️ ПАРАМЕТРЫ'!$C$20,0)</f>
        <v>105818</v>
      </c>
    </row>
    <row r="16" spans="1:38" s="72" customFormat="1" ht="12.75" customHeight="1" x14ac:dyDescent="0.25">
      <c r="A16" s="158"/>
      <c r="B16" s="161" t="s">
        <v>355</v>
      </c>
      <c r="C16" s="162">
        <f t="shared" ref="C16:AL16" si="0">C12-C14-C15</f>
        <v>729120</v>
      </c>
      <c r="D16" s="162">
        <f t="shared" si="0"/>
        <v>1328040</v>
      </c>
      <c r="E16" s="162">
        <f t="shared" si="0"/>
        <v>2005080</v>
      </c>
      <c r="F16" s="162">
        <f t="shared" si="0"/>
        <v>2005080</v>
      </c>
      <c r="G16" s="162">
        <f t="shared" si="0"/>
        <v>1926960</v>
      </c>
      <c r="H16" s="162">
        <f t="shared" si="0"/>
        <v>1822800</v>
      </c>
      <c r="I16" s="162">
        <f t="shared" si="0"/>
        <v>1744680</v>
      </c>
      <c r="J16" s="162">
        <f t="shared" si="0"/>
        <v>1744680</v>
      </c>
      <c r="K16" s="162">
        <f t="shared" si="0"/>
        <v>2187360</v>
      </c>
      <c r="L16" s="162">
        <f t="shared" si="0"/>
        <v>1562400</v>
      </c>
      <c r="M16" s="162">
        <f t="shared" si="0"/>
        <v>1562400</v>
      </c>
      <c r="N16" s="162">
        <f t="shared" si="0"/>
        <v>1640520</v>
      </c>
      <c r="O16" s="162">
        <f t="shared" si="0"/>
        <v>2109240</v>
      </c>
      <c r="P16" s="162">
        <f t="shared" si="0"/>
        <v>2221733</v>
      </c>
      <c r="Q16" s="162">
        <f t="shared" si="0"/>
        <v>2306102</v>
      </c>
      <c r="R16" s="162">
        <f t="shared" si="0"/>
        <v>2306102</v>
      </c>
      <c r="S16" s="162">
        <f t="shared" si="0"/>
        <v>2221733</v>
      </c>
      <c r="T16" s="162">
        <f t="shared" si="0"/>
        <v>2109240</v>
      </c>
      <c r="U16" s="162">
        <f t="shared" si="0"/>
        <v>1996747</v>
      </c>
      <c r="V16" s="162">
        <f t="shared" si="0"/>
        <v>1996747</v>
      </c>
      <c r="W16" s="162">
        <f t="shared" si="0"/>
        <v>2531088</v>
      </c>
      <c r="X16" s="162">
        <f t="shared" si="0"/>
        <v>1799885</v>
      </c>
      <c r="Y16" s="162">
        <f t="shared" si="0"/>
        <v>1799885</v>
      </c>
      <c r="Z16" s="162">
        <f t="shared" si="0"/>
        <v>1884254</v>
      </c>
      <c r="AA16" s="162">
        <f t="shared" si="0"/>
        <v>2429904</v>
      </c>
      <c r="AB16" s="162">
        <f t="shared" si="0"/>
        <v>2551399</v>
      </c>
      <c r="AC16" s="162">
        <f t="shared" si="0"/>
        <v>2672894</v>
      </c>
      <c r="AD16" s="162">
        <f t="shared" si="0"/>
        <v>2672894</v>
      </c>
      <c r="AE16" s="162">
        <f t="shared" si="0"/>
        <v>2551399</v>
      </c>
      <c r="AF16" s="162">
        <f t="shared" si="0"/>
        <v>2429904</v>
      </c>
      <c r="AG16" s="162">
        <f t="shared" si="0"/>
        <v>2308409</v>
      </c>
      <c r="AH16" s="162">
        <f t="shared" si="0"/>
        <v>2308409</v>
      </c>
      <c r="AI16" s="162">
        <f t="shared" si="0"/>
        <v>2915885</v>
      </c>
      <c r="AJ16" s="162">
        <f t="shared" si="0"/>
        <v>2065418</v>
      </c>
      <c r="AK16" s="162">
        <f t="shared" si="0"/>
        <v>2065418</v>
      </c>
      <c r="AL16" s="162">
        <f t="shared" si="0"/>
        <v>2186914</v>
      </c>
    </row>
    <row r="17" spans="1:38" s="72" customFormat="1" ht="12.75" customHeight="1" x14ac:dyDescent="0.25">
      <c r="A17" s="163"/>
      <c r="B17" s="2" t="s">
        <v>356</v>
      </c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  <c r="AA17" s="2"/>
      <c r="AB17" s="2"/>
      <c r="AC17" s="2"/>
      <c r="AD17" s="2"/>
      <c r="AE17" s="2"/>
      <c r="AF17" s="2"/>
      <c r="AG17" s="2"/>
      <c r="AH17" s="2"/>
      <c r="AI17" s="2"/>
      <c r="AJ17" s="2"/>
      <c r="AK17" s="2"/>
      <c r="AL17" s="2"/>
    </row>
    <row r="18" spans="1:38" x14ac:dyDescent="0.25">
      <c r="A18" s="164"/>
      <c r="B18" s="164" t="s">
        <v>357</v>
      </c>
      <c r="C18" s="165">
        <f>ROUND('⚙️ ПАРАМЕТРЫ'!$C$25*'⚙️ ПАРАМЕТРЫ'!$C$26*(1+'📊 ДОПУЩЕНИЯ'!$C$10)^INT((1-1)/12),0)</f>
        <v>400000</v>
      </c>
      <c r="D18" s="166">
        <f>ROUND('⚙️ ПАРАМЕТРЫ'!$C$25*'⚙️ ПАРАМЕТРЫ'!$C$26*(1+'📊 ДОПУЩЕНИЯ'!$C$10)^INT((2-1)/12),0)</f>
        <v>400000</v>
      </c>
      <c r="E18" s="166">
        <f>ROUND('⚙️ ПАРАМЕТРЫ'!$C$25*'⚙️ ПАРАМЕТРЫ'!$C$26*(1+'📊 ДОПУЩЕНИЯ'!$C$10)^INT((3-1)/12),0)</f>
        <v>400000</v>
      </c>
      <c r="F18" s="166">
        <f>ROUND('⚙️ ПАРАМЕТРЫ'!$C$25*'⚙️ ПАРАМЕТРЫ'!$C$26*(1+'📊 ДОПУЩЕНИЯ'!$C$10)^INT((4-1)/12),0)</f>
        <v>400000</v>
      </c>
      <c r="G18" s="166">
        <f>ROUND('⚙️ ПАРАМЕТРЫ'!$C$25*'⚙️ ПАРАМЕТРЫ'!$C$26*(1+'📊 ДОПУЩЕНИЯ'!$C$10)^INT((5-1)/12),0)</f>
        <v>400000</v>
      </c>
      <c r="H18" s="166">
        <f>ROUND('⚙️ ПАРАМЕТРЫ'!$C$25*'⚙️ ПАРАМЕТРЫ'!$C$26*(1+'📊 ДОПУЩЕНИЯ'!$C$10)^INT((6-1)/12),0)</f>
        <v>400000</v>
      </c>
      <c r="I18" s="166">
        <f>ROUND('⚙️ ПАРАМЕТРЫ'!$C$25*'⚙️ ПАРАМЕТРЫ'!$C$26*(1+'📊 ДОПУЩЕНИЯ'!$C$10)^INT((7-1)/12),0)</f>
        <v>400000</v>
      </c>
      <c r="J18" s="166">
        <f>ROUND('⚙️ ПАРАМЕТРЫ'!$C$25*'⚙️ ПАРАМЕТРЫ'!$C$26*(1+'📊 ДОПУЩЕНИЯ'!$C$10)^INT((8-1)/12),0)</f>
        <v>400000</v>
      </c>
      <c r="K18" s="166">
        <f>ROUND('⚙️ ПАРАМЕТРЫ'!$C$25*'⚙️ ПАРАМЕТРЫ'!$C$26*(1+'📊 ДОПУЩЕНИЯ'!$C$10)^INT((9-1)/12),0)</f>
        <v>400000</v>
      </c>
      <c r="L18" s="166">
        <f>ROUND('⚙️ ПАРАМЕТРЫ'!$C$25*'⚙️ ПАРАМЕТРЫ'!$C$26*(1+'📊 ДОПУЩЕНИЯ'!$C$10)^INT((10-1)/12),0)</f>
        <v>400000</v>
      </c>
      <c r="M18" s="166">
        <f>ROUND('⚙️ ПАРАМЕТРЫ'!$C$25*'⚙️ ПАРАМЕТРЫ'!$C$26*(1+'📊 ДОПУЩЕНИЯ'!$C$10)^INT((11-1)/12),0)</f>
        <v>400000</v>
      </c>
      <c r="N18" s="166">
        <f>ROUND('⚙️ ПАРАМЕТРЫ'!$C$25*'⚙️ ПАРАМЕТРЫ'!$C$26*(1+'📊 ДОПУЩЕНИЯ'!$C$10)^INT((12-1)/12),0)</f>
        <v>400000</v>
      </c>
      <c r="O18" s="166">
        <f>ROUND('⚙️ ПАРАМЕТРЫ'!$C$25*'⚙️ ПАРАМЕТРЫ'!$C$26*(1+'📊 ДОПУЩЕНИЯ'!$C$10)^INT((13-1)/12),0)</f>
        <v>432000</v>
      </c>
      <c r="P18" s="166">
        <f>ROUND('⚙️ ПАРАМЕТРЫ'!$C$25*'⚙️ ПАРАМЕТРЫ'!$C$26*(1+'📊 ДОПУЩЕНИЯ'!$C$10)^INT((14-1)/12),0)</f>
        <v>432000</v>
      </c>
      <c r="Q18" s="166">
        <f>ROUND('⚙️ ПАРАМЕТРЫ'!$C$25*'⚙️ ПАРАМЕТРЫ'!$C$26*(1+'📊 ДОПУЩЕНИЯ'!$C$10)^INT((15-1)/12),0)</f>
        <v>432000</v>
      </c>
      <c r="R18" s="166">
        <f>ROUND('⚙️ ПАРАМЕТРЫ'!$C$25*'⚙️ ПАРАМЕТРЫ'!$C$26*(1+'📊 ДОПУЩЕНИЯ'!$C$10)^INT((16-1)/12),0)</f>
        <v>432000</v>
      </c>
      <c r="S18" s="166">
        <f>ROUND('⚙️ ПАРАМЕТРЫ'!$C$25*'⚙️ ПАРАМЕТРЫ'!$C$26*(1+'📊 ДОПУЩЕНИЯ'!$C$10)^INT((17-1)/12),0)</f>
        <v>432000</v>
      </c>
      <c r="T18" s="166">
        <f>ROUND('⚙️ ПАРАМЕТРЫ'!$C$25*'⚙️ ПАРАМЕТРЫ'!$C$26*(1+'📊 ДОПУЩЕНИЯ'!$C$10)^INT((18-1)/12),0)</f>
        <v>432000</v>
      </c>
      <c r="U18" s="166">
        <f>ROUND('⚙️ ПАРАМЕТРЫ'!$C$25*'⚙️ ПАРАМЕТРЫ'!$C$26*(1+'📊 ДОПУЩЕНИЯ'!$C$10)^INT((19-1)/12),0)</f>
        <v>432000</v>
      </c>
      <c r="V18" s="166">
        <f>ROUND('⚙️ ПАРАМЕТРЫ'!$C$25*'⚙️ ПАРАМЕТРЫ'!$C$26*(1+'📊 ДОПУЩЕНИЯ'!$C$10)^INT((20-1)/12),0)</f>
        <v>432000</v>
      </c>
      <c r="W18" s="166">
        <f>ROUND('⚙️ ПАРАМЕТРЫ'!$C$25*'⚙️ ПАРАМЕТРЫ'!$C$26*(1+'📊 ДОПУЩЕНИЯ'!$C$10)^INT((21-1)/12),0)</f>
        <v>432000</v>
      </c>
      <c r="X18" s="166">
        <f>ROUND('⚙️ ПАРАМЕТРЫ'!$C$25*'⚙️ ПАРАМЕТРЫ'!$C$26*(1+'📊 ДОПУЩЕНИЯ'!$C$10)^INT((22-1)/12),0)</f>
        <v>432000</v>
      </c>
      <c r="Y18" s="166">
        <f>ROUND('⚙️ ПАРАМЕТРЫ'!$C$25*'⚙️ ПАРАМЕТРЫ'!$C$26*(1+'📊 ДОПУЩЕНИЯ'!$C$10)^INT((23-1)/12),0)</f>
        <v>432000</v>
      </c>
      <c r="Z18" s="166">
        <f>ROUND('⚙️ ПАРАМЕТРЫ'!$C$25*'⚙️ ПАРАМЕТРЫ'!$C$26*(1+'📊 ДОПУЩЕНИЯ'!$C$10)^INT((24-1)/12),0)</f>
        <v>432000</v>
      </c>
      <c r="AA18" s="166">
        <f>ROUND('⚙️ ПАРАМЕТРЫ'!$C$25*'⚙️ ПАРАМЕТРЫ'!$C$26*(1+'📊 ДОПУЩЕНИЯ'!$C$10)^INT((25-1)/12),0)</f>
        <v>466560</v>
      </c>
      <c r="AB18" s="166">
        <f>ROUND('⚙️ ПАРАМЕТРЫ'!$C$25*'⚙️ ПАРАМЕТРЫ'!$C$26*(1+'📊 ДОПУЩЕНИЯ'!$C$10)^INT((26-1)/12),0)</f>
        <v>466560</v>
      </c>
      <c r="AC18" s="166">
        <f>ROUND('⚙️ ПАРАМЕТРЫ'!$C$25*'⚙️ ПАРАМЕТРЫ'!$C$26*(1+'📊 ДОПУЩЕНИЯ'!$C$10)^INT((27-1)/12),0)</f>
        <v>466560</v>
      </c>
      <c r="AD18" s="166">
        <f>ROUND('⚙️ ПАРАМЕТРЫ'!$C$25*'⚙️ ПАРАМЕТРЫ'!$C$26*(1+'📊 ДОПУЩЕНИЯ'!$C$10)^INT((28-1)/12),0)</f>
        <v>466560</v>
      </c>
      <c r="AE18" s="166">
        <f>ROUND('⚙️ ПАРАМЕТРЫ'!$C$25*'⚙️ ПАРАМЕТРЫ'!$C$26*(1+'📊 ДОПУЩЕНИЯ'!$C$10)^INT((29-1)/12),0)</f>
        <v>466560</v>
      </c>
      <c r="AF18" s="166">
        <f>ROUND('⚙️ ПАРАМЕТРЫ'!$C$25*'⚙️ ПАРАМЕТРЫ'!$C$26*(1+'📊 ДОПУЩЕНИЯ'!$C$10)^INT((30-1)/12),0)</f>
        <v>466560</v>
      </c>
      <c r="AG18" s="166">
        <f>ROUND('⚙️ ПАРАМЕТРЫ'!$C$25*'⚙️ ПАРАМЕТРЫ'!$C$26*(1+'📊 ДОПУЩЕНИЯ'!$C$10)^INT((31-1)/12),0)</f>
        <v>466560</v>
      </c>
      <c r="AH18" s="166">
        <f>ROUND('⚙️ ПАРАМЕТРЫ'!$C$25*'⚙️ ПАРАМЕТРЫ'!$C$26*(1+'📊 ДОПУЩЕНИЯ'!$C$10)^INT((32-1)/12),0)</f>
        <v>466560</v>
      </c>
      <c r="AI18" s="166">
        <f>ROUND('⚙️ ПАРАМЕТРЫ'!$C$25*'⚙️ ПАРАМЕТРЫ'!$C$26*(1+'📊 ДОПУЩЕНИЯ'!$C$10)^INT((33-1)/12),0)</f>
        <v>466560</v>
      </c>
      <c r="AJ18" s="166">
        <f>ROUND('⚙️ ПАРАМЕТРЫ'!$C$25*'⚙️ ПАРАМЕТРЫ'!$C$26*(1+'📊 ДОПУЩЕНИЯ'!$C$10)^INT((34-1)/12),0)</f>
        <v>466560</v>
      </c>
      <c r="AK18" s="166">
        <f>ROUND('⚙️ ПАРАМЕТРЫ'!$C$25*'⚙️ ПАРАМЕТРЫ'!$C$26*(1+'📊 ДОПУЩЕНИЯ'!$C$10)^INT((35-1)/12),0)</f>
        <v>466560</v>
      </c>
      <c r="AL18" s="167">
        <f>ROUND('⚙️ ПАРАМЕТРЫ'!$C$25*'⚙️ ПАРАМЕТРЫ'!$C$26*(1+'📊 ДОПУЩЕНИЯ'!$C$10)^INT((36-1)/12),0)</f>
        <v>466560</v>
      </c>
    </row>
    <row r="19" spans="1:38" x14ac:dyDescent="0.25">
      <c r="A19" s="164"/>
      <c r="B19" s="60" t="s">
        <v>358</v>
      </c>
      <c r="C19" s="168">
        <f>ROUND(C18*'📊 ДОПУЩЕНИЯ'!$C$37,0)</f>
        <v>12000</v>
      </c>
      <c r="D19" s="168">
        <f>ROUND(D18*'📊 ДОПУЩЕНИЯ'!$C$37,0)</f>
        <v>12000</v>
      </c>
      <c r="E19" s="168">
        <f>ROUND(E18*'📊 ДОПУЩЕНИЯ'!$C$37,0)</f>
        <v>12000</v>
      </c>
      <c r="F19" s="168">
        <f>ROUND(F18*'📊 ДОПУЩЕНИЯ'!$C$37,0)</f>
        <v>12000</v>
      </c>
      <c r="G19" s="168">
        <f>ROUND(G18*'📊 ДОПУЩЕНИЯ'!$C$37,0)</f>
        <v>12000</v>
      </c>
      <c r="H19" s="168">
        <f>ROUND(H18*'📊 ДОПУЩЕНИЯ'!$C$37,0)</f>
        <v>12000</v>
      </c>
      <c r="I19" s="168">
        <f>ROUND(I18*'📊 ДОПУЩЕНИЯ'!$C$37,0)</f>
        <v>12000</v>
      </c>
      <c r="J19" s="168">
        <f>ROUND(J18*'📊 ДОПУЩЕНИЯ'!$C$37,0)</f>
        <v>12000</v>
      </c>
      <c r="K19" s="168">
        <f>ROUND(K18*'📊 ДОПУЩЕНИЯ'!$C$37,0)</f>
        <v>12000</v>
      </c>
      <c r="L19" s="168">
        <f>ROUND(L18*'📊 ДОПУЩЕНИЯ'!$C$37,0)</f>
        <v>12000</v>
      </c>
      <c r="M19" s="168">
        <f>ROUND(M18*'📊 ДОПУЩЕНИЯ'!$C$37,0)</f>
        <v>12000</v>
      </c>
      <c r="N19" s="168">
        <f>ROUND(N18*'📊 ДОПУЩЕНИЯ'!$C$37,0)</f>
        <v>12000</v>
      </c>
      <c r="O19" s="168">
        <f>ROUND(O18*'📊 ДОПУЩЕНИЯ'!$C$37,0)</f>
        <v>12960</v>
      </c>
      <c r="P19" s="168">
        <f>ROUND(P18*'📊 ДОПУЩЕНИЯ'!$C$37,0)</f>
        <v>12960</v>
      </c>
      <c r="Q19" s="168">
        <f>ROUND(Q18*'📊 ДОПУЩЕНИЯ'!$C$37,0)</f>
        <v>12960</v>
      </c>
      <c r="R19" s="168">
        <f>ROUND(R18*'📊 ДОПУЩЕНИЯ'!$C$37,0)</f>
        <v>12960</v>
      </c>
      <c r="S19" s="168">
        <f>ROUND(S18*'📊 ДОПУЩЕНИЯ'!$C$37,0)</f>
        <v>12960</v>
      </c>
      <c r="T19" s="168">
        <f>ROUND(T18*'📊 ДОПУЩЕНИЯ'!$C$37,0)</f>
        <v>12960</v>
      </c>
      <c r="U19" s="168">
        <f>ROUND(U18*'📊 ДОПУЩЕНИЯ'!$C$37,0)</f>
        <v>12960</v>
      </c>
      <c r="V19" s="168">
        <f>ROUND(V18*'📊 ДОПУЩЕНИЯ'!$C$37,0)</f>
        <v>12960</v>
      </c>
      <c r="W19" s="168">
        <f>ROUND(W18*'📊 ДОПУЩЕНИЯ'!$C$37,0)</f>
        <v>12960</v>
      </c>
      <c r="X19" s="168">
        <f>ROUND(X18*'📊 ДОПУЩЕНИЯ'!$C$37,0)</f>
        <v>12960</v>
      </c>
      <c r="Y19" s="168">
        <f>ROUND(Y18*'📊 ДОПУЩЕНИЯ'!$C$37,0)</f>
        <v>12960</v>
      </c>
      <c r="Z19" s="168">
        <f>ROUND(Z18*'📊 ДОПУЩЕНИЯ'!$C$37,0)</f>
        <v>12960</v>
      </c>
      <c r="AA19" s="168">
        <f>ROUND(AA18*'📊 ДОПУЩЕНИЯ'!$C$37,0)</f>
        <v>13997</v>
      </c>
      <c r="AB19" s="168">
        <f>ROUND(AB18*'📊 ДОПУЩЕНИЯ'!$C$37,0)</f>
        <v>13997</v>
      </c>
      <c r="AC19" s="168">
        <f>ROUND(AC18*'📊 ДОПУЩЕНИЯ'!$C$37,0)</f>
        <v>13997</v>
      </c>
      <c r="AD19" s="168">
        <f>ROUND(AD18*'📊 ДОПУЩЕНИЯ'!$C$37,0)</f>
        <v>13997</v>
      </c>
      <c r="AE19" s="168">
        <f>ROUND(AE18*'📊 ДОПУЩЕНИЯ'!$C$37,0)</f>
        <v>13997</v>
      </c>
      <c r="AF19" s="168">
        <f>ROUND(AF18*'📊 ДОПУЩЕНИЯ'!$C$37,0)</f>
        <v>13997</v>
      </c>
      <c r="AG19" s="168">
        <f>ROUND(AG18*'📊 ДОПУЩЕНИЯ'!$C$37,0)</f>
        <v>13997</v>
      </c>
      <c r="AH19" s="168">
        <f>ROUND(AH18*'📊 ДОПУЩЕНИЯ'!$C$37,0)</f>
        <v>13997</v>
      </c>
      <c r="AI19" s="168">
        <f>ROUND(AI18*'📊 ДОПУЩЕНИЯ'!$C$37,0)</f>
        <v>13997</v>
      </c>
      <c r="AJ19" s="168">
        <f>ROUND(AJ18*'📊 ДОПУЩЕНИЯ'!$C$37,0)</f>
        <v>13997</v>
      </c>
      <c r="AK19" s="168">
        <f>ROUND(AK18*'📊 ДОПУЩЕНИЯ'!$C$37,0)</f>
        <v>13997</v>
      </c>
      <c r="AL19" s="168">
        <f>ROUND(AL18*'📊 ДОПУЩЕНИЯ'!$C$37,0)</f>
        <v>13997</v>
      </c>
    </row>
    <row r="20" spans="1:38" x14ac:dyDescent="0.25">
      <c r="A20" s="164"/>
      <c r="B20" s="60" t="s">
        <v>359</v>
      </c>
      <c r="C20" s="169">
        <f>ROUND(C18*'📊 ДОПУЩЕНИЯ'!$C$38,0)</f>
        <v>14000</v>
      </c>
      <c r="D20" s="169">
        <f>ROUND(D18*'📊 ДОПУЩЕНИЯ'!$C$38,0)</f>
        <v>14000</v>
      </c>
      <c r="E20" s="169">
        <f>ROUND(E18*'📊 ДОПУЩЕНИЯ'!$C$38,0)</f>
        <v>14000</v>
      </c>
      <c r="F20" s="169">
        <f>ROUND(F18*'📊 ДОПУЩЕНИЯ'!$C$38,0)</f>
        <v>14000</v>
      </c>
      <c r="G20" s="169">
        <f>ROUND(G18*'📊 ДОПУЩЕНИЯ'!$C$38,0)</f>
        <v>14000</v>
      </c>
      <c r="H20" s="169">
        <f>ROUND(H18*'📊 ДОПУЩЕНИЯ'!$C$38,0)</f>
        <v>14000</v>
      </c>
      <c r="I20" s="169">
        <f>ROUND(I18*'📊 ДОПУЩЕНИЯ'!$C$38,0)</f>
        <v>14000</v>
      </c>
      <c r="J20" s="169">
        <f>ROUND(J18*'📊 ДОПУЩЕНИЯ'!$C$38,0)</f>
        <v>14000</v>
      </c>
      <c r="K20" s="169">
        <f>ROUND(K18*'📊 ДОПУЩЕНИЯ'!$C$38,0)</f>
        <v>14000</v>
      </c>
      <c r="L20" s="169">
        <f>ROUND(L18*'📊 ДОПУЩЕНИЯ'!$C$38,0)</f>
        <v>14000</v>
      </c>
      <c r="M20" s="169">
        <f>ROUND(M18*'📊 ДОПУЩЕНИЯ'!$C$38,0)</f>
        <v>14000</v>
      </c>
      <c r="N20" s="169">
        <f>ROUND(N18*'📊 ДОПУЩЕНИЯ'!$C$38,0)</f>
        <v>14000</v>
      </c>
      <c r="O20" s="169">
        <f>ROUND(O18*'📊 ДОПУЩЕНИЯ'!$C$38,0)</f>
        <v>15120</v>
      </c>
      <c r="P20" s="169">
        <f>ROUND(P18*'📊 ДОПУЩЕНИЯ'!$C$38,0)</f>
        <v>15120</v>
      </c>
      <c r="Q20" s="169">
        <f>ROUND(Q18*'📊 ДОПУЩЕНИЯ'!$C$38,0)</f>
        <v>15120</v>
      </c>
      <c r="R20" s="169">
        <f>ROUND(R18*'📊 ДОПУЩЕНИЯ'!$C$38,0)</f>
        <v>15120</v>
      </c>
      <c r="S20" s="169">
        <f>ROUND(S18*'📊 ДОПУЩЕНИЯ'!$C$38,0)</f>
        <v>15120</v>
      </c>
      <c r="T20" s="169">
        <f>ROUND(T18*'📊 ДОПУЩЕНИЯ'!$C$38,0)</f>
        <v>15120</v>
      </c>
      <c r="U20" s="169">
        <f>ROUND(U18*'📊 ДОПУЩЕНИЯ'!$C$38,0)</f>
        <v>15120</v>
      </c>
      <c r="V20" s="169">
        <f>ROUND(V18*'📊 ДОПУЩЕНИЯ'!$C$38,0)</f>
        <v>15120</v>
      </c>
      <c r="W20" s="169">
        <f>ROUND(W18*'📊 ДОПУЩЕНИЯ'!$C$38,0)</f>
        <v>15120</v>
      </c>
      <c r="X20" s="169">
        <f>ROUND(X18*'📊 ДОПУЩЕНИЯ'!$C$38,0)</f>
        <v>15120</v>
      </c>
      <c r="Y20" s="169">
        <f>ROUND(Y18*'📊 ДОПУЩЕНИЯ'!$C$38,0)</f>
        <v>15120</v>
      </c>
      <c r="Z20" s="169">
        <f>ROUND(Z18*'📊 ДОПУЩЕНИЯ'!$C$38,0)</f>
        <v>15120</v>
      </c>
      <c r="AA20" s="169">
        <f>ROUND(AA18*'📊 ДОПУЩЕНИЯ'!$C$38,0)</f>
        <v>16330</v>
      </c>
      <c r="AB20" s="169">
        <f>ROUND(AB18*'📊 ДОПУЩЕНИЯ'!$C$38,0)</f>
        <v>16330</v>
      </c>
      <c r="AC20" s="169">
        <f>ROUND(AC18*'📊 ДОПУЩЕНИЯ'!$C$38,0)</f>
        <v>16330</v>
      </c>
      <c r="AD20" s="169">
        <f>ROUND(AD18*'📊 ДОПУЩЕНИЯ'!$C$38,0)</f>
        <v>16330</v>
      </c>
      <c r="AE20" s="169">
        <f>ROUND(AE18*'📊 ДОПУЩЕНИЯ'!$C$38,0)</f>
        <v>16330</v>
      </c>
      <c r="AF20" s="169">
        <f>ROUND(AF18*'📊 ДОПУЩЕНИЯ'!$C$38,0)</f>
        <v>16330</v>
      </c>
      <c r="AG20" s="169">
        <f>ROUND(AG18*'📊 ДОПУЩЕНИЯ'!$C$38,0)</f>
        <v>16330</v>
      </c>
      <c r="AH20" s="169">
        <f>ROUND(AH18*'📊 ДОПУЩЕНИЯ'!$C$38,0)</f>
        <v>16330</v>
      </c>
      <c r="AI20" s="169">
        <f>ROUND(AI18*'📊 ДОПУЩЕНИЯ'!$C$38,0)</f>
        <v>16330</v>
      </c>
      <c r="AJ20" s="169">
        <f>ROUND(AJ18*'📊 ДОПУЩЕНИЯ'!$C$38,0)</f>
        <v>16330</v>
      </c>
      <c r="AK20" s="169">
        <f>ROUND(AK18*'📊 ДОПУЩЕНИЯ'!$C$38,0)</f>
        <v>16330</v>
      </c>
      <c r="AL20" s="169">
        <f>ROUND(AL18*'📊 ДОПУЩЕНИЯ'!$C$38,0)</f>
        <v>16330</v>
      </c>
    </row>
    <row r="21" spans="1:38" x14ac:dyDescent="0.25">
      <c r="A21" s="164"/>
      <c r="B21" s="60" t="s">
        <v>360</v>
      </c>
      <c r="C21" s="169">
        <f>ROUND(C18*'📊 ДОПУЩЕНИЯ'!$C$39,0)</f>
        <v>14000</v>
      </c>
      <c r="D21" s="169">
        <f>ROUND(D18*'📊 ДОПУЩЕНИЯ'!$C$39,0)</f>
        <v>14000</v>
      </c>
      <c r="E21" s="169">
        <f>ROUND(E18*'📊 ДОПУЩЕНИЯ'!$C$39,0)</f>
        <v>14000</v>
      </c>
      <c r="F21" s="169">
        <f>ROUND(F18*'📊 ДОПУЩЕНИЯ'!$C$39,0)</f>
        <v>14000</v>
      </c>
      <c r="G21" s="169">
        <f>ROUND(G18*'📊 ДОПУЩЕНИЯ'!$C$39,0)</f>
        <v>14000</v>
      </c>
      <c r="H21" s="169">
        <f>ROUND(H18*'📊 ДОПУЩЕНИЯ'!$C$39,0)</f>
        <v>14000</v>
      </c>
      <c r="I21" s="169">
        <f>ROUND(I18*'📊 ДОПУЩЕНИЯ'!$C$39,0)</f>
        <v>14000</v>
      </c>
      <c r="J21" s="169">
        <f>ROUND(J18*'📊 ДОПУЩЕНИЯ'!$C$39,0)</f>
        <v>14000</v>
      </c>
      <c r="K21" s="169">
        <f>ROUND(K18*'📊 ДОПУЩЕНИЯ'!$C$39,0)</f>
        <v>14000</v>
      </c>
      <c r="L21" s="169">
        <f>ROUND(L18*'📊 ДОПУЩЕНИЯ'!$C$39,0)</f>
        <v>14000</v>
      </c>
      <c r="M21" s="169">
        <f>ROUND(M18*'📊 ДОПУЩЕНИЯ'!$C$39,0)</f>
        <v>14000</v>
      </c>
      <c r="N21" s="169">
        <f>ROUND(N18*'📊 ДОПУЩЕНИЯ'!$C$39,0)</f>
        <v>14000</v>
      </c>
      <c r="O21" s="169">
        <f>ROUND(O18*'📊 ДОПУЩЕНИЯ'!$C$39,0)</f>
        <v>15120</v>
      </c>
      <c r="P21" s="169">
        <f>ROUND(P18*'📊 ДОПУЩЕНИЯ'!$C$39,0)</f>
        <v>15120</v>
      </c>
      <c r="Q21" s="169">
        <f>ROUND(Q18*'📊 ДОПУЩЕНИЯ'!$C$39,0)</f>
        <v>15120</v>
      </c>
      <c r="R21" s="169">
        <f>ROUND(R18*'📊 ДОПУЩЕНИЯ'!$C$39,0)</f>
        <v>15120</v>
      </c>
      <c r="S21" s="169">
        <f>ROUND(S18*'📊 ДОПУЩЕНИЯ'!$C$39,0)</f>
        <v>15120</v>
      </c>
      <c r="T21" s="169">
        <f>ROUND(T18*'📊 ДОПУЩЕНИЯ'!$C$39,0)</f>
        <v>15120</v>
      </c>
      <c r="U21" s="169">
        <f>ROUND(U18*'📊 ДОПУЩЕНИЯ'!$C$39,0)</f>
        <v>15120</v>
      </c>
      <c r="V21" s="169">
        <f>ROUND(V18*'📊 ДОПУЩЕНИЯ'!$C$39,0)</f>
        <v>15120</v>
      </c>
      <c r="W21" s="169">
        <f>ROUND(W18*'📊 ДОПУЩЕНИЯ'!$C$39,0)</f>
        <v>15120</v>
      </c>
      <c r="X21" s="169">
        <f>ROUND(X18*'📊 ДОПУЩЕНИЯ'!$C$39,0)</f>
        <v>15120</v>
      </c>
      <c r="Y21" s="169">
        <f>ROUND(Y18*'📊 ДОПУЩЕНИЯ'!$C$39,0)</f>
        <v>15120</v>
      </c>
      <c r="Z21" s="169">
        <f>ROUND(Z18*'📊 ДОПУЩЕНИЯ'!$C$39,0)</f>
        <v>15120</v>
      </c>
      <c r="AA21" s="169">
        <f>ROUND(AA18*'📊 ДОПУЩЕНИЯ'!$C$39,0)</f>
        <v>16330</v>
      </c>
      <c r="AB21" s="169">
        <f>ROUND(AB18*'📊 ДОПУЩЕНИЯ'!$C$39,0)</f>
        <v>16330</v>
      </c>
      <c r="AC21" s="169">
        <f>ROUND(AC18*'📊 ДОПУЩЕНИЯ'!$C$39,0)</f>
        <v>16330</v>
      </c>
      <c r="AD21" s="169">
        <f>ROUND(AD18*'📊 ДОПУЩЕНИЯ'!$C$39,0)</f>
        <v>16330</v>
      </c>
      <c r="AE21" s="169">
        <f>ROUND(AE18*'📊 ДОПУЩЕНИЯ'!$C$39,0)</f>
        <v>16330</v>
      </c>
      <c r="AF21" s="169">
        <f>ROUND(AF18*'📊 ДОПУЩЕНИЯ'!$C$39,0)</f>
        <v>16330</v>
      </c>
      <c r="AG21" s="169">
        <f>ROUND(AG18*'📊 ДОПУЩЕНИЯ'!$C$39,0)</f>
        <v>16330</v>
      </c>
      <c r="AH21" s="169">
        <f>ROUND(AH18*'📊 ДОПУЩЕНИЯ'!$C$39,0)</f>
        <v>16330</v>
      </c>
      <c r="AI21" s="169">
        <f>ROUND(AI18*'📊 ДОПУЩЕНИЯ'!$C$39,0)</f>
        <v>16330</v>
      </c>
      <c r="AJ21" s="169">
        <f>ROUND(AJ18*'📊 ДОПУЩЕНИЯ'!$C$39,0)</f>
        <v>16330</v>
      </c>
      <c r="AK21" s="169">
        <f>ROUND(AK18*'📊 ДОПУЩЕНИЯ'!$C$39,0)</f>
        <v>16330</v>
      </c>
      <c r="AL21" s="169">
        <f>ROUND(AL18*'📊 ДОПУЩЕНИЯ'!$C$39,0)</f>
        <v>16330</v>
      </c>
    </row>
    <row r="22" spans="1:38" x14ac:dyDescent="0.25">
      <c r="A22" s="164"/>
      <c r="B22" s="60" t="s">
        <v>361</v>
      </c>
      <c r="C22" s="169">
        <f>IF('📊 ДОПУЩЕНИЯ'!$C$55="УСН",0,ROUND(C18*MAX('📊 ДОПУЩЕНИЯ'!$C$40-'📊 ДОПУЩЕНИЯ'!$C$39,0),0))</f>
        <v>0</v>
      </c>
      <c r="D22" s="169">
        <f>IF('📊 ДОПУЩЕНИЯ'!$C$55="УСН",0,ROUND(D18*MAX('📊 ДОПУЩЕНИЯ'!$C$40-'📊 ДОПУЩЕНИЯ'!$C$39,0),0))</f>
        <v>0</v>
      </c>
      <c r="E22" s="169">
        <f>IF('📊 ДОПУЩЕНИЯ'!$C$55="УСН",0,ROUND(E18*MAX('📊 ДОПУЩЕНИЯ'!$C$40-'📊 ДОПУЩЕНИЯ'!$C$39,0),0))</f>
        <v>0</v>
      </c>
      <c r="F22" s="169">
        <f>IF('📊 ДОПУЩЕНИЯ'!$C$55="УСН",0,ROUND(F18*MAX('📊 ДОПУЩЕНИЯ'!$C$40-'📊 ДОПУЩЕНИЯ'!$C$39,0),0))</f>
        <v>0</v>
      </c>
      <c r="G22" s="169">
        <f>IF('📊 ДОПУЩЕНИЯ'!$C$55="УСН",0,ROUND(G18*MAX('📊 ДОПУЩЕНИЯ'!$C$40-'📊 ДОПУЩЕНИЯ'!$C$39,0),0))</f>
        <v>0</v>
      </c>
      <c r="H22" s="169">
        <f>IF('📊 ДОПУЩЕНИЯ'!$C$55="УСН",0,ROUND(H18*MAX('📊 ДОПУЩЕНИЯ'!$C$40-'📊 ДОПУЩЕНИЯ'!$C$39,0),0))</f>
        <v>0</v>
      </c>
      <c r="I22" s="169">
        <f>IF('📊 ДОПУЩЕНИЯ'!$C$55="УСН",0,ROUND(I18*MAX('📊 ДОПУЩЕНИЯ'!$C$40-'📊 ДОПУЩЕНИЯ'!$C$39,0),0))</f>
        <v>0</v>
      </c>
      <c r="J22" s="169">
        <f>IF('📊 ДОПУЩЕНИЯ'!$C$55="УСН",0,ROUND(J18*MAX('📊 ДОПУЩЕНИЯ'!$C$40-'📊 ДОПУЩЕНИЯ'!$C$39,0),0))</f>
        <v>0</v>
      </c>
      <c r="K22" s="169">
        <f>IF('📊 ДОПУЩЕНИЯ'!$C$55="УСН",0,ROUND(K18*MAX('📊 ДОПУЩЕНИЯ'!$C$40-'📊 ДОПУЩЕНИЯ'!$C$39,0),0))</f>
        <v>0</v>
      </c>
      <c r="L22" s="169">
        <f>IF('📊 ДОПУЩЕНИЯ'!$C$55="УСН",0,ROUND(L18*MAX('📊 ДОПУЩЕНИЯ'!$C$40-'📊 ДОПУЩЕНИЯ'!$C$39,0),0))</f>
        <v>0</v>
      </c>
      <c r="M22" s="169">
        <f>IF('📊 ДОПУЩЕНИЯ'!$C$55="УСН",0,ROUND(M18*MAX('📊 ДОПУЩЕНИЯ'!$C$40-'📊 ДОПУЩЕНИЯ'!$C$39,0),0))</f>
        <v>0</v>
      </c>
      <c r="N22" s="169">
        <f>IF('📊 ДОПУЩЕНИЯ'!$C$55="УСН",0,ROUND(N18*MAX('📊 ДОПУЩЕНИЯ'!$C$40-'📊 ДОПУЩЕНИЯ'!$C$39,0),0))</f>
        <v>0</v>
      </c>
      <c r="O22" s="169">
        <f>IF('📊 ДОПУЩЕНИЯ'!$C$55="УСН",0,ROUND(O18*MAX('📊 ДОПУЩЕНИЯ'!$C$40-'📊 ДОПУЩЕНИЯ'!$C$39,0),0))</f>
        <v>0</v>
      </c>
      <c r="P22" s="169">
        <f>IF('📊 ДОПУЩЕНИЯ'!$C$55="УСН",0,ROUND(P18*MAX('📊 ДОПУЩЕНИЯ'!$C$40-'📊 ДОПУЩЕНИЯ'!$C$39,0),0))</f>
        <v>0</v>
      </c>
      <c r="Q22" s="169">
        <f>IF('📊 ДОПУЩЕНИЯ'!$C$55="УСН",0,ROUND(Q18*MAX('📊 ДОПУЩЕНИЯ'!$C$40-'📊 ДОПУЩЕНИЯ'!$C$39,0),0))</f>
        <v>0</v>
      </c>
      <c r="R22" s="169">
        <f>IF('📊 ДОПУЩЕНИЯ'!$C$55="УСН",0,ROUND(R18*MAX('📊 ДОПУЩЕНИЯ'!$C$40-'📊 ДОПУЩЕНИЯ'!$C$39,0),0))</f>
        <v>0</v>
      </c>
      <c r="S22" s="169">
        <f>IF('📊 ДОПУЩЕНИЯ'!$C$55="УСН",0,ROUND(S18*MAX('📊 ДОПУЩЕНИЯ'!$C$40-'📊 ДОПУЩЕНИЯ'!$C$39,0),0))</f>
        <v>0</v>
      </c>
      <c r="T22" s="169">
        <f>IF('📊 ДОПУЩЕНИЯ'!$C$55="УСН",0,ROUND(T18*MAX('📊 ДОПУЩЕНИЯ'!$C$40-'📊 ДОПУЩЕНИЯ'!$C$39,0),0))</f>
        <v>0</v>
      </c>
      <c r="U22" s="169">
        <f>IF('📊 ДОПУЩЕНИЯ'!$C$55="УСН",0,ROUND(U18*MAX('📊 ДОПУЩЕНИЯ'!$C$40-'📊 ДОПУЩЕНИЯ'!$C$39,0),0))</f>
        <v>0</v>
      </c>
      <c r="V22" s="169">
        <f>IF('📊 ДОПУЩЕНИЯ'!$C$55="УСН",0,ROUND(V18*MAX('📊 ДОПУЩЕНИЯ'!$C$40-'📊 ДОПУЩЕНИЯ'!$C$39,0),0))</f>
        <v>0</v>
      </c>
      <c r="W22" s="169">
        <f>IF('📊 ДОПУЩЕНИЯ'!$C$55="УСН",0,ROUND(W18*MAX('📊 ДОПУЩЕНИЯ'!$C$40-'📊 ДОПУЩЕНИЯ'!$C$39,0),0))</f>
        <v>0</v>
      </c>
      <c r="X22" s="169">
        <f>IF('📊 ДОПУЩЕНИЯ'!$C$55="УСН",0,ROUND(X18*MAX('📊 ДОПУЩЕНИЯ'!$C$40-'📊 ДОПУЩЕНИЯ'!$C$39,0),0))</f>
        <v>0</v>
      </c>
      <c r="Y22" s="169">
        <f>IF('📊 ДОПУЩЕНИЯ'!$C$55="УСН",0,ROUND(Y18*MAX('📊 ДОПУЩЕНИЯ'!$C$40-'📊 ДОПУЩЕНИЯ'!$C$39,0),0))</f>
        <v>0</v>
      </c>
      <c r="Z22" s="169">
        <f>IF('📊 ДОПУЩЕНИЯ'!$C$55="УСН",0,ROUND(Z18*MAX('📊 ДОПУЩЕНИЯ'!$C$40-'📊 ДОПУЩЕНИЯ'!$C$39,0),0))</f>
        <v>0</v>
      </c>
      <c r="AA22" s="169">
        <f>IF('📊 ДОПУЩЕНИЯ'!$C$55="УСН",0,ROUND(AA18*MAX('📊 ДОПУЩЕНИЯ'!$C$40-'📊 ДОПУЩЕНИЯ'!$C$39,0),0))</f>
        <v>0</v>
      </c>
      <c r="AB22" s="169">
        <f>IF('📊 ДОПУЩЕНИЯ'!$C$55="УСН",0,ROUND(AB18*MAX('📊 ДОПУЩЕНИЯ'!$C$40-'📊 ДОПУЩЕНИЯ'!$C$39,0),0))</f>
        <v>0</v>
      </c>
      <c r="AC22" s="169">
        <f>IF('📊 ДОПУЩЕНИЯ'!$C$55="УСН",0,ROUND(AC18*MAX('📊 ДОПУЩЕНИЯ'!$C$40-'📊 ДОПУЩЕНИЯ'!$C$39,0),0))</f>
        <v>0</v>
      </c>
      <c r="AD22" s="169">
        <f>IF('📊 ДОПУЩЕНИЯ'!$C$55="УСН",0,ROUND(AD18*MAX('📊 ДОПУЩЕНИЯ'!$C$40-'📊 ДОПУЩЕНИЯ'!$C$39,0),0))</f>
        <v>0</v>
      </c>
      <c r="AE22" s="169">
        <f>IF('📊 ДОПУЩЕНИЯ'!$C$55="УСН",0,ROUND(AE18*MAX('📊 ДОПУЩЕНИЯ'!$C$40-'📊 ДОПУЩЕНИЯ'!$C$39,0),0))</f>
        <v>0</v>
      </c>
      <c r="AF22" s="169">
        <f>IF('📊 ДОПУЩЕНИЯ'!$C$55="УСН",0,ROUND(AF18*MAX('📊 ДОПУЩЕНИЯ'!$C$40-'📊 ДОПУЩЕНИЯ'!$C$39,0),0))</f>
        <v>0</v>
      </c>
      <c r="AG22" s="169">
        <f>IF('📊 ДОПУЩЕНИЯ'!$C$55="УСН",0,ROUND(AG18*MAX('📊 ДОПУЩЕНИЯ'!$C$40-'📊 ДОПУЩЕНИЯ'!$C$39,0),0))</f>
        <v>0</v>
      </c>
      <c r="AH22" s="169">
        <f>IF('📊 ДОПУЩЕНИЯ'!$C$55="УСН",0,ROUND(AH18*MAX('📊 ДОПУЩЕНИЯ'!$C$40-'📊 ДОПУЩЕНИЯ'!$C$39,0),0))</f>
        <v>0</v>
      </c>
      <c r="AI22" s="169">
        <f>IF('📊 ДОПУЩЕНИЯ'!$C$55="УСН",0,ROUND(AI18*MAX('📊 ДОПУЩЕНИЯ'!$C$40-'📊 ДОПУЩЕНИЯ'!$C$39,0),0))</f>
        <v>0</v>
      </c>
      <c r="AJ22" s="169">
        <f>IF('📊 ДОПУЩЕНИЯ'!$C$55="УСН",0,ROUND(AJ18*MAX('📊 ДОПУЩЕНИЯ'!$C$40-'📊 ДОПУЩЕНИЯ'!$C$39,0),0))</f>
        <v>0</v>
      </c>
      <c r="AK22" s="169">
        <f>IF('📊 ДОПУЩЕНИЯ'!$C$55="УСН",0,ROUND(AK18*MAX('📊 ДОПУЩЕНИЯ'!$C$40-'📊 ДОПУЩЕНИЯ'!$C$39,0),0))</f>
        <v>0</v>
      </c>
      <c r="AL22" s="169">
        <f>IF('📊 ДОПУЩЕНИЯ'!$C$55="УСН",0,ROUND(AL18*MAX('📊 ДОПУЩЕНИЯ'!$C$40-'📊 ДОПУЩЕНИЯ'!$C$39,0),0))</f>
        <v>0</v>
      </c>
    </row>
    <row r="23" spans="1:38" x14ac:dyDescent="0.25">
      <c r="A23" s="164"/>
      <c r="B23" s="170" t="s">
        <v>362</v>
      </c>
      <c r="C23" s="171">
        <f t="shared" ref="C23:AL23" si="1">C19+C20+C21+C22</f>
        <v>40000</v>
      </c>
      <c r="D23" s="171">
        <f t="shared" si="1"/>
        <v>40000</v>
      </c>
      <c r="E23" s="171">
        <f t="shared" si="1"/>
        <v>40000</v>
      </c>
      <c r="F23" s="171">
        <f t="shared" si="1"/>
        <v>40000</v>
      </c>
      <c r="G23" s="171">
        <f t="shared" si="1"/>
        <v>40000</v>
      </c>
      <c r="H23" s="171">
        <f t="shared" si="1"/>
        <v>40000</v>
      </c>
      <c r="I23" s="171">
        <f t="shared" si="1"/>
        <v>40000</v>
      </c>
      <c r="J23" s="171">
        <f t="shared" si="1"/>
        <v>40000</v>
      </c>
      <c r="K23" s="171">
        <f t="shared" si="1"/>
        <v>40000</v>
      </c>
      <c r="L23" s="171">
        <f t="shared" si="1"/>
        <v>40000</v>
      </c>
      <c r="M23" s="171">
        <f t="shared" si="1"/>
        <v>40000</v>
      </c>
      <c r="N23" s="171">
        <f t="shared" si="1"/>
        <v>40000</v>
      </c>
      <c r="O23" s="171">
        <f t="shared" si="1"/>
        <v>43200</v>
      </c>
      <c r="P23" s="171">
        <f t="shared" si="1"/>
        <v>43200</v>
      </c>
      <c r="Q23" s="171">
        <f t="shared" si="1"/>
        <v>43200</v>
      </c>
      <c r="R23" s="171">
        <f t="shared" si="1"/>
        <v>43200</v>
      </c>
      <c r="S23" s="171">
        <f t="shared" si="1"/>
        <v>43200</v>
      </c>
      <c r="T23" s="171">
        <f t="shared" si="1"/>
        <v>43200</v>
      </c>
      <c r="U23" s="171">
        <f t="shared" si="1"/>
        <v>43200</v>
      </c>
      <c r="V23" s="171">
        <f t="shared" si="1"/>
        <v>43200</v>
      </c>
      <c r="W23" s="171">
        <f t="shared" si="1"/>
        <v>43200</v>
      </c>
      <c r="X23" s="171">
        <f t="shared" si="1"/>
        <v>43200</v>
      </c>
      <c r="Y23" s="171">
        <f t="shared" si="1"/>
        <v>43200</v>
      </c>
      <c r="Z23" s="171">
        <f t="shared" si="1"/>
        <v>43200</v>
      </c>
      <c r="AA23" s="171">
        <f t="shared" si="1"/>
        <v>46657</v>
      </c>
      <c r="AB23" s="171">
        <f t="shared" si="1"/>
        <v>46657</v>
      </c>
      <c r="AC23" s="171">
        <f t="shared" si="1"/>
        <v>46657</v>
      </c>
      <c r="AD23" s="171">
        <f t="shared" si="1"/>
        <v>46657</v>
      </c>
      <c r="AE23" s="171">
        <f t="shared" si="1"/>
        <v>46657</v>
      </c>
      <c r="AF23" s="171">
        <f t="shared" si="1"/>
        <v>46657</v>
      </c>
      <c r="AG23" s="171">
        <f t="shared" si="1"/>
        <v>46657</v>
      </c>
      <c r="AH23" s="171">
        <f t="shared" si="1"/>
        <v>46657</v>
      </c>
      <c r="AI23" s="171">
        <f t="shared" si="1"/>
        <v>46657</v>
      </c>
      <c r="AJ23" s="171">
        <f t="shared" si="1"/>
        <v>46657</v>
      </c>
      <c r="AK23" s="171">
        <f t="shared" si="1"/>
        <v>46657</v>
      </c>
      <c r="AL23" s="171">
        <f t="shared" si="1"/>
        <v>46657</v>
      </c>
    </row>
    <row r="24" spans="1:38" x14ac:dyDescent="0.25">
      <c r="A24" s="164"/>
      <c r="B24" s="164" t="s">
        <v>178</v>
      </c>
      <c r="C24" s="172">
        <f>ROUND('⚙️ ПАРАМЕТРЫ'!$C$23*(1+'📊 ДОПУЩЕНИЯ'!$C$9)^INT((1-1)/12),0)</f>
        <v>70000</v>
      </c>
      <c r="D24" s="173">
        <f>ROUND('⚙️ ПАРАМЕТРЫ'!$C$23*(1+'📊 ДОПУЩЕНИЯ'!$C$9)^INT((2-1)/12),0)</f>
        <v>70000</v>
      </c>
      <c r="E24" s="173">
        <f>ROUND('⚙️ ПАРАМЕТРЫ'!$C$23*(1+'📊 ДОПУЩЕНИЯ'!$C$9)^INT((3-1)/12),0)</f>
        <v>70000</v>
      </c>
      <c r="F24" s="173">
        <f>ROUND('⚙️ ПАРАМЕТРЫ'!$C$23*(1+'📊 ДОПУЩЕНИЯ'!$C$9)^INT((4-1)/12),0)</f>
        <v>70000</v>
      </c>
      <c r="G24" s="173">
        <f>ROUND('⚙️ ПАРАМЕТРЫ'!$C$23*(1+'📊 ДОПУЩЕНИЯ'!$C$9)^INT((5-1)/12),0)</f>
        <v>70000</v>
      </c>
      <c r="H24" s="173">
        <f>ROUND('⚙️ ПАРАМЕТРЫ'!$C$23*(1+'📊 ДОПУЩЕНИЯ'!$C$9)^INT((6-1)/12),0)</f>
        <v>70000</v>
      </c>
      <c r="I24" s="173">
        <f>ROUND('⚙️ ПАРАМЕТРЫ'!$C$23*(1+'📊 ДОПУЩЕНИЯ'!$C$9)^INT((7-1)/12),0)</f>
        <v>70000</v>
      </c>
      <c r="J24" s="173">
        <f>ROUND('⚙️ ПАРАМЕТРЫ'!$C$23*(1+'📊 ДОПУЩЕНИЯ'!$C$9)^INT((8-1)/12),0)</f>
        <v>70000</v>
      </c>
      <c r="K24" s="173">
        <f>ROUND('⚙️ ПАРАМЕТРЫ'!$C$23*(1+'📊 ДОПУЩЕНИЯ'!$C$9)^INT((9-1)/12),0)</f>
        <v>70000</v>
      </c>
      <c r="L24" s="173">
        <f>ROUND('⚙️ ПАРАМЕТРЫ'!$C$23*(1+'📊 ДОПУЩЕНИЯ'!$C$9)^INT((10-1)/12),0)</f>
        <v>70000</v>
      </c>
      <c r="M24" s="173">
        <f>ROUND('⚙️ ПАРАМЕТРЫ'!$C$23*(1+'📊 ДОПУЩЕНИЯ'!$C$9)^INT((11-1)/12),0)</f>
        <v>70000</v>
      </c>
      <c r="N24" s="173">
        <f>ROUND('⚙️ ПАРАМЕТРЫ'!$C$23*(1+'📊 ДОПУЩЕНИЯ'!$C$9)^INT((12-1)/12),0)</f>
        <v>70000</v>
      </c>
      <c r="O24" s="173">
        <f>ROUND('⚙️ ПАРАМЕТРЫ'!$C$23*(1+'📊 ДОПУЩЕНИЯ'!$C$9)^INT((13-1)/12),0)</f>
        <v>77000</v>
      </c>
      <c r="P24" s="173">
        <f>ROUND('⚙️ ПАРАМЕТРЫ'!$C$23*(1+'📊 ДОПУЩЕНИЯ'!$C$9)^INT((14-1)/12),0)</f>
        <v>77000</v>
      </c>
      <c r="Q24" s="173">
        <f>ROUND('⚙️ ПАРАМЕТРЫ'!$C$23*(1+'📊 ДОПУЩЕНИЯ'!$C$9)^INT((15-1)/12),0)</f>
        <v>77000</v>
      </c>
      <c r="R24" s="173">
        <f>ROUND('⚙️ ПАРАМЕТРЫ'!$C$23*(1+'📊 ДОПУЩЕНИЯ'!$C$9)^INT((16-1)/12),0)</f>
        <v>77000</v>
      </c>
      <c r="S24" s="173">
        <f>ROUND('⚙️ ПАРАМЕТРЫ'!$C$23*(1+'📊 ДОПУЩЕНИЯ'!$C$9)^INT((17-1)/12),0)</f>
        <v>77000</v>
      </c>
      <c r="T24" s="173">
        <f>ROUND('⚙️ ПАРАМЕТРЫ'!$C$23*(1+'📊 ДОПУЩЕНИЯ'!$C$9)^INT((18-1)/12),0)</f>
        <v>77000</v>
      </c>
      <c r="U24" s="173">
        <f>ROUND('⚙️ ПАРАМЕТРЫ'!$C$23*(1+'📊 ДОПУЩЕНИЯ'!$C$9)^INT((19-1)/12),0)</f>
        <v>77000</v>
      </c>
      <c r="V24" s="173">
        <f>ROUND('⚙️ ПАРАМЕТРЫ'!$C$23*(1+'📊 ДОПУЩЕНИЯ'!$C$9)^INT((20-1)/12),0)</f>
        <v>77000</v>
      </c>
      <c r="W24" s="173">
        <f>ROUND('⚙️ ПАРАМЕТРЫ'!$C$23*(1+'📊 ДОПУЩЕНИЯ'!$C$9)^INT((21-1)/12),0)</f>
        <v>77000</v>
      </c>
      <c r="X24" s="173">
        <f>ROUND('⚙️ ПАРАМЕТРЫ'!$C$23*(1+'📊 ДОПУЩЕНИЯ'!$C$9)^INT((22-1)/12),0)</f>
        <v>77000</v>
      </c>
      <c r="Y24" s="173">
        <f>ROUND('⚙️ ПАРАМЕТРЫ'!$C$23*(1+'📊 ДОПУЩЕНИЯ'!$C$9)^INT((23-1)/12),0)</f>
        <v>77000</v>
      </c>
      <c r="Z24" s="173">
        <f>ROUND('⚙️ ПАРАМЕТРЫ'!$C$23*(1+'📊 ДОПУЩЕНИЯ'!$C$9)^INT((24-1)/12),0)</f>
        <v>77000</v>
      </c>
      <c r="AA24" s="173">
        <f>ROUND('⚙️ ПАРАМЕТРЫ'!$C$23*(1+'📊 ДОПУЩЕНИЯ'!$C$9)^INT((25-1)/12),0)</f>
        <v>84700</v>
      </c>
      <c r="AB24" s="173">
        <f>ROUND('⚙️ ПАРАМЕТРЫ'!$C$23*(1+'📊 ДОПУЩЕНИЯ'!$C$9)^INT((26-1)/12),0)</f>
        <v>84700</v>
      </c>
      <c r="AC24" s="173">
        <f>ROUND('⚙️ ПАРАМЕТРЫ'!$C$23*(1+'📊 ДОПУЩЕНИЯ'!$C$9)^INT((27-1)/12),0)</f>
        <v>84700</v>
      </c>
      <c r="AD24" s="173">
        <f>ROUND('⚙️ ПАРАМЕТРЫ'!$C$23*(1+'📊 ДОПУЩЕНИЯ'!$C$9)^INT((28-1)/12),0)</f>
        <v>84700</v>
      </c>
      <c r="AE24" s="173">
        <f>ROUND('⚙️ ПАРАМЕТРЫ'!$C$23*(1+'📊 ДОПУЩЕНИЯ'!$C$9)^INT((29-1)/12),0)</f>
        <v>84700</v>
      </c>
      <c r="AF24" s="173">
        <f>ROUND('⚙️ ПАРАМЕТРЫ'!$C$23*(1+'📊 ДОПУЩЕНИЯ'!$C$9)^INT((30-1)/12),0)</f>
        <v>84700</v>
      </c>
      <c r="AG24" s="173">
        <f>ROUND('⚙️ ПАРАМЕТРЫ'!$C$23*(1+'📊 ДОПУЩЕНИЯ'!$C$9)^INT((31-1)/12),0)</f>
        <v>84700</v>
      </c>
      <c r="AH24" s="173">
        <f>ROUND('⚙️ ПАРАМЕТРЫ'!$C$23*(1+'📊 ДОПУЩЕНИЯ'!$C$9)^INT((32-1)/12),0)</f>
        <v>84700</v>
      </c>
      <c r="AI24" s="173">
        <f>ROUND('⚙️ ПАРАМЕТРЫ'!$C$23*(1+'📊 ДОПУЩЕНИЯ'!$C$9)^INT((33-1)/12),0)</f>
        <v>84700</v>
      </c>
      <c r="AJ24" s="173">
        <f>ROUND('⚙️ ПАРАМЕТРЫ'!$C$23*(1+'📊 ДОПУЩЕНИЯ'!$C$9)^INT((34-1)/12),0)</f>
        <v>84700</v>
      </c>
      <c r="AK24" s="173">
        <f>ROUND('⚙️ ПАРАМЕТРЫ'!$C$23*(1+'📊 ДОПУЩЕНИЯ'!$C$9)^INT((35-1)/12),0)</f>
        <v>84700</v>
      </c>
      <c r="AL24" s="174">
        <f>ROUND('⚙️ ПАРАМЕТРЫ'!$C$23*(1+'📊 ДОПУЩЕНИЯ'!$C$9)^INT((36-1)/12),0)</f>
        <v>84700</v>
      </c>
    </row>
    <row r="25" spans="1:38" x14ac:dyDescent="0.25">
      <c r="A25" s="164"/>
      <c r="B25" s="164" t="s">
        <v>113</v>
      </c>
      <c r="C25" s="172">
        <f>ROUND('⚙️ ПАРАМЕТРЫ'!$C$27*(1+'📊 ДОПУЩЕНИЯ'!$C$12)^INT((1-1)/12),0)</f>
        <v>15000</v>
      </c>
      <c r="D25" s="173">
        <f>ROUND('⚙️ ПАРАМЕТРЫ'!$C$27*(1+'📊 ДОПУЩЕНИЯ'!$C$12)^INT((2-1)/12),0)</f>
        <v>15000</v>
      </c>
      <c r="E25" s="173">
        <f>ROUND('⚙️ ПАРАМЕТРЫ'!$C$27*(1+'📊 ДОПУЩЕНИЯ'!$C$12)^INT((3-1)/12),0)</f>
        <v>15000</v>
      </c>
      <c r="F25" s="173">
        <f>ROUND('⚙️ ПАРАМЕТРЫ'!$C$27*(1+'📊 ДОПУЩЕНИЯ'!$C$12)^INT((4-1)/12),0)</f>
        <v>15000</v>
      </c>
      <c r="G25" s="173">
        <f>ROUND('⚙️ ПАРАМЕТРЫ'!$C$27*(1+'📊 ДОПУЩЕНИЯ'!$C$12)^INT((5-1)/12),0)</f>
        <v>15000</v>
      </c>
      <c r="H25" s="173">
        <f>ROUND('⚙️ ПАРАМЕТРЫ'!$C$27*(1+'📊 ДОПУЩЕНИЯ'!$C$12)^INT((6-1)/12),0)</f>
        <v>15000</v>
      </c>
      <c r="I25" s="173">
        <f>ROUND('⚙️ ПАРАМЕТРЫ'!$C$27*(1+'📊 ДОПУЩЕНИЯ'!$C$12)^INT((7-1)/12),0)</f>
        <v>15000</v>
      </c>
      <c r="J25" s="173">
        <f>ROUND('⚙️ ПАРАМЕТРЫ'!$C$27*(1+'📊 ДОПУЩЕНИЯ'!$C$12)^INT((8-1)/12),0)</f>
        <v>15000</v>
      </c>
      <c r="K25" s="173">
        <f>ROUND('⚙️ ПАРАМЕТРЫ'!$C$27*(1+'📊 ДОПУЩЕНИЯ'!$C$12)^INT((9-1)/12),0)</f>
        <v>15000</v>
      </c>
      <c r="L25" s="173">
        <f>ROUND('⚙️ ПАРАМЕТРЫ'!$C$27*(1+'📊 ДОПУЩЕНИЯ'!$C$12)^INT((10-1)/12),0)</f>
        <v>15000</v>
      </c>
      <c r="M25" s="173">
        <f>ROUND('⚙️ ПАРАМЕТРЫ'!$C$27*(1+'📊 ДОПУЩЕНИЯ'!$C$12)^INT((11-1)/12),0)</f>
        <v>15000</v>
      </c>
      <c r="N25" s="173">
        <f>ROUND('⚙️ ПАРАМЕТРЫ'!$C$27*(1+'📊 ДОПУЩЕНИЯ'!$C$12)^INT((12-1)/12),0)</f>
        <v>15000</v>
      </c>
      <c r="O25" s="173">
        <f>ROUND('⚙️ ПАРАМЕТРЫ'!$C$27*(1+'📊 ДОПУЩЕНИЯ'!$C$12)^INT((13-1)/12),0)</f>
        <v>16200</v>
      </c>
      <c r="P25" s="173">
        <f>ROUND('⚙️ ПАРАМЕТРЫ'!$C$27*(1+'📊 ДОПУЩЕНИЯ'!$C$12)^INT((14-1)/12),0)</f>
        <v>16200</v>
      </c>
      <c r="Q25" s="173">
        <f>ROUND('⚙️ ПАРАМЕТРЫ'!$C$27*(1+'📊 ДОПУЩЕНИЯ'!$C$12)^INT((15-1)/12),0)</f>
        <v>16200</v>
      </c>
      <c r="R25" s="173">
        <f>ROUND('⚙️ ПАРАМЕТРЫ'!$C$27*(1+'📊 ДОПУЩЕНИЯ'!$C$12)^INT((16-1)/12),0)</f>
        <v>16200</v>
      </c>
      <c r="S25" s="173">
        <f>ROUND('⚙️ ПАРАМЕТРЫ'!$C$27*(1+'📊 ДОПУЩЕНИЯ'!$C$12)^INT((17-1)/12),0)</f>
        <v>16200</v>
      </c>
      <c r="T25" s="173">
        <f>ROUND('⚙️ ПАРАМЕТРЫ'!$C$27*(1+'📊 ДОПУЩЕНИЯ'!$C$12)^INT((18-1)/12),0)</f>
        <v>16200</v>
      </c>
      <c r="U25" s="173">
        <f>ROUND('⚙️ ПАРАМЕТРЫ'!$C$27*(1+'📊 ДОПУЩЕНИЯ'!$C$12)^INT((19-1)/12),0)</f>
        <v>16200</v>
      </c>
      <c r="V25" s="173">
        <f>ROUND('⚙️ ПАРАМЕТРЫ'!$C$27*(1+'📊 ДОПУЩЕНИЯ'!$C$12)^INT((20-1)/12),0)</f>
        <v>16200</v>
      </c>
      <c r="W25" s="173">
        <f>ROUND('⚙️ ПАРАМЕТРЫ'!$C$27*(1+'📊 ДОПУЩЕНИЯ'!$C$12)^INT((21-1)/12),0)</f>
        <v>16200</v>
      </c>
      <c r="X25" s="173">
        <f>ROUND('⚙️ ПАРАМЕТРЫ'!$C$27*(1+'📊 ДОПУЩЕНИЯ'!$C$12)^INT((22-1)/12),0)</f>
        <v>16200</v>
      </c>
      <c r="Y25" s="173">
        <f>ROUND('⚙️ ПАРАМЕТРЫ'!$C$27*(1+'📊 ДОПУЩЕНИЯ'!$C$12)^INT((23-1)/12),0)</f>
        <v>16200</v>
      </c>
      <c r="Z25" s="173">
        <f>ROUND('⚙️ ПАРАМЕТРЫ'!$C$27*(1+'📊 ДОПУЩЕНИЯ'!$C$12)^INT((24-1)/12),0)</f>
        <v>16200</v>
      </c>
      <c r="AA25" s="173">
        <f>ROUND('⚙️ ПАРАМЕТРЫ'!$C$27*(1+'📊 ДОПУЩЕНИЯ'!$C$12)^INT((25-1)/12),0)</f>
        <v>17496</v>
      </c>
      <c r="AB25" s="173">
        <f>ROUND('⚙️ ПАРАМЕТРЫ'!$C$27*(1+'📊 ДОПУЩЕНИЯ'!$C$12)^INT((26-1)/12),0)</f>
        <v>17496</v>
      </c>
      <c r="AC25" s="173">
        <f>ROUND('⚙️ ПАРАМЕТРЫ'!$C$27*(1+'📊 ДОПУЩЕНИЯ'!$C$12)^INT((27-1)/12),0)</f>
        <v>17496</v>
      </c>
      <c r="AD25" s="173">
        <f>ROUND('⚙️ ПАРАМЕТРЫ'!$C$27*(1+'📊 ДОПУЩЕНИЯ'!$C$12)^INT((28-1)/12),0)</f>
        <v>17496</v>
      </c>
      <c r="AE25" s="173">
        <f>ROUND('⚙️ ПАРАМЕТРЫ'!$C$27*(1+'📊 ДОПУЩЕНИЯ'!$C$12)^INT((29-1)/12),0)</f>
        <v>17496</v>
      </c>
      <c r="AF25" s="173">
        <f>ROUND('⚙️ ПАРАМЕТРЫ'!$C$27*(1+'📊 ДОПУЩЕНИЯ'!$C$12)^INT((30-1)/12),0)</f>
        <v>17496</v>
      </c>
      <c r="AG25" s="173">
        <f>ROUND('⚙️ ПАРАМЕТРЫ'!$C$27*(1+'📊 ДОПУЩЕНИЯ'!$C$12)^INT((31-1)/12),0)</f>
        <v>17496</v>
      </c>
      <c r="AH25" s="173">
        <f>ROUND('⚙️ ПАРАМЕТРЫ'!$C$27*(1+'📊 ДОПУЩЕНИЯ'!$C$12)^INT((32-1)/12),0)</f>
        <v>17496</v>
      </c>
      <c r="AI25" s="173">
        <f>ROUND('⚙️ ПАРАМЕТРЫ'!$C$27*(1+'📊 ДОПУЩЕНИЯ'!$C$12)^INT((33-1)/12),0)</f>
        <v>17496</v>
      </c>
      <c r="AJ25" s="173">
        <f>ROUND('⚙️ ПАРАМЕТРЫ'!$C$27*(1+'📊 ДОПУЩЕНИЯ'!$C$12)^INT((34-1)/12),0)</f>
        <v>17496</v>
      </c>
      <c r="AK25" s="173">
        <f>ROUND('⚙️ ПАРАМЕТРЫ'!$C$27*(1+'📊 ДОПУЩЕНИЯ'!$C$12)^INT((35-1)/12),0)</f>
        <v>17496</v>
      </c>
      <c r="AL25" s="174">
        <f>ROUND('⚙️ ПАРАМЕТРЫ'!$C$27*(1+'📊 ДОПУЩЕНИЯ'!$C$12)^INT((36-1)/12),0)</f>
        <v>17496</v>
      </c>
    </row>
    <row r="26" spans="1:38" x14ac:dyDescent="0.25">
      <c r="A26" s="164"/>
      <c r="B26" s="164" t="s">
        <v>115</v>
      </c>
      <c r="C26" s="172">
        <f>ROUND('⚙️ ПАРАМЕТРЫ'!$C$28*(1+'📊 ДОПУЩЕНИЯ'!$C$13)^INT((1-1)/12),0)</f>
        <v>50000</v>
      </c>
      <c r="D26" s="173">
        <f>ROUND('⚙️ ПАРАМЕТРЫ'!$C$28*(1+'📊 ДОПУЩЕНИЯ'!$C$13)^INT((2-1)/12),0)</f>
        <v>50000</v>
      </c>
      <c r="E26" s="173">
        <f>ROUND('⚙️ ПАРАМЕТРЫ'!$C$28*(1+'📊 ДОПУЩЕНИЯ'!$C$13)^INT((3-1)/12),0)</f>
        <v>50000</v>
      </c>
      <c r="F26" s="173">
        <f>ROUND('⚙️ ПАРАМЕТРЫ'!$C$28*(1+'📊 ДОПУЩЕНИЯ'!$C$13)^INT((4-1)/12),0)</f>
        <v>50000</v>
      </c>
      <c r="G26" s="173">
        <f>ROUND('⚙️ ПАРАМЕТРЫ'!$C$28*(1+'📊 ДОПУЩЕНИЯ'!$C$13)^INT((5-1)/12),0)</f>
        <v>50000</v>
      </c>
      <c r="H26" s="173">
        <f>ROUND('⚙️ ПАРАМЕТРЫ'!$C$28*(1+'📊 ДОПУЩЕНИЯ'!$C$13)^INT((6-1)/12),0)</f>
        <v>50000</v>
      </c>
      <c r="I26" s="173">
        <f>ROUND('⚙️ ПАРАМЕТРЫ'!$C$28*(1+'📊 ДОПУЩЕНИЯ'!$C$13)^INT((7-1)/12),0)</f>
        <v>50000</v>
      </c>
      <c r="J26" s="173">
        <f>ROUND('⚙️ ПАРАМЕТРЫ'!$C$28*(1+'📊 ДОПУЩЕНИЯ'!$C$13)^INT((8-1)/12),0)</f>
        <v>50000</v>
      </c>
      <c r="K26" s="173">
        <f>ROUND('⚙️ ПАРАМЕТРЫ'!$C$28*(1+'📊 ДОПУЩЕНИЯ'!$C$13)^INT((9-1)/12),0)</f>
        <v>50000</v>
      </c>
      <c r="L26" s="173">
        <f>ROUND('⚙️ ПАРАМЕТРЫ'!$C$28*(1+'📊 ДОПУЩЕНИЯ'!$C$13)^INT((10-1)/12),0)</f>
        <v>50000</v>
      </c>
      <c r="M26" s="173">
        <f>ROUND('⚙️ ПАРАМЕТРЫ'!$C$28*(1+'📊 ДОПУЩЕНИЯ'!$C$13)^INT((11-1)/12),0)</f>
        <v>50000</v>
      </c>
      <c r="N26" s="173">
        <f>ROUND('⚙️ ПАРАМЕТРЫ'!$C$28*(1+'📊 ДОПУЩЕНИЯ'!$C$13)^INT((12-1)/12),0)</f>
        <v>50000</v>
      </c>
      <c r="O26" s="173">
        <f>ROUND('⚙️ ПАРАМЕТРЫ'!$C$28*(1+'📊 ДОПУЩЕНИЯ'!$C$13)^INT((13-1)/12),0)</f>
        <v>52500</v>
      </c>
      <c r="P26" s="173">
        <f>ROUND('⚙️ ПАРАМЕТРЫ'!$C$28*(1+'📊 ДОПУЩЕНИЯ'!$C$13)^INT((14-1)/12),0)</f>
        <v>52500</v>
      </c>
      <c r="Q26" s="173">
        <f>ROUND('⚙️ ПАРАМЕТРЫ'!$C$28*(1+'📊 ДОПУЩЕНИЯ'!$C$13)^INT((15-1)/12),0)</f>
        <v>52500</v>
      </c>
      <c r="R26" s="173">
        <f>ROUND('⚙️ ПАРАМЕТРЫ'!$C$28*(1+'📊 ДОПУЩЕНИЯ'!$C$13)^INT((16-1)/12),0)</f>
        <v>52500</v>
      </c>
      <c r="S26" s="173">
        <f>ROUND('⚙️ ПАРАМЕТРЫ'!$C$28*(1+'📊 ДОПУЩЕНИЯ'!$C$13)^INT((17-1)/12),0)</f>
        <v>52500</v>
      </c>
      <c r="T26" s="173">
        <f>ROUND('⚙️ ПАРАМЕТРЫ'!$C$28*(1+'📊 ДОПУЩЕНИЯ'!$C$13)^INT((18-1)/12),0)</f>
        <v>52500</v>
      </c>
      <c r="U26" s="173">
        <f>ROUND('⚙️ ПАРАМЕТРЫ'!$C$28*(1+'📊 ДОПУЩЕНИЯ'!$C$13)^INT((19-1)/12),0)</f>
        <v>52500</v>
      </c>
      <c r="V26" s="173">
        <f>ROUND('⚙️ ПАРАМЕТРЫ'!$C$28*(1+'📊 ДОПУЩЕНИЯ'!$C$13)^INT((20-1)/12),0)</f>
        <v>52500</v>
      </c>
      <c r="W26" s="173">
        <f>ROUND('⚙️ ПАРАМЕТРЫ'!$C$28*(1+'📊 ДОПУЩЕНИЯ'!$C$13)^INT((21-1)/12),0)</f>
        <v>52500</v>
      </c>
      <c r="X26" s="173">
        <f>ROUND('⚙️ ПАРАМЕТРЫ'!$C$28*(1+'📊 ДОПУЩЕНИЯ'!$C$13)^INT((22-1)/12),0)</f>
        <v>52500</v>
      </c>
      <c r="Y26" s="173">
        <f>ROUND('⚙️ ПАРАМЕТРЫ'!$C$28*(1+'📊 ДОПУЩЕНИЯ'!$C$13)^INT((23-1)/12),0)</f>
        <v>52500</v>
      </c>
      <c r="Z26" s="173">
        <f>ROUND('⚙️ ПАРАМЕТРЫ'!$C$28*(1+'📊 ДОПУЩЕНИЯ'!$C$13)^INT((24-1)/12),0)</f>
        <v>52500</v>
      </c>
      <c r="AA26" s="173">
        <f>ROUND('⚙️ ПАРАМЕТРЫ'!$C$28*(1+'📊 ДОПУЩЕНИЯ'!$C$13)^INT((25-1)/12),0)</f>
        <v>55125</v>
      </c>
      <c r="AB26" s="173">
        <f>ROUND('⚙️ ПАРАМЕТРЫ'!$C$28*(1+'📊 ДОПУЩЕНИЯ'!$C$13)^INT((26-1)/12),0)</f>
        <v>55125</v>
      </c>
      <c r="AC26" s="173">
        <f>ROUND('⚙️ ПАРАМЕТРЫ'!$C$28*(1+'📊 ДОПУЩЕНИЯ'!$C$13)^INT((27-1)/12),0)</f>
        <v>55125</v>
      </c>
      <c r="AD26" s="173">
        <f>ROUND('⚙️ ПАРАМЕТРЫ'!$C$28*(1+'📊 ДОПУЩЕНИЯ'!$C$13)^INT((28-1)/12),0)</f>
        <v>55125</v>
      </c>
      <c r="AE26" s="173">
        <f>ROUND('⚙️ ПАРАМЕТРЫ'!$C$28*(1+'📊 ДОПУЩЕНИЯ'!$C$13)^INT((29-1)/12),0)</f>
        <v>55125</v>
      </c>
      <c r="AF26" s="173">
        <f>ROUND('⚙️ ПАРАМЕТРЫ'!$C$28*(1+'📊 ДОПУЩЕНИЯ'!$C$13)^INT((30-1)/12),0)</f>
        <v>55125</v>
      </c>
      <c r="AG26" s="173">
        <f>ROUND('⚙️ ПАРАМЕТРЫ'!$C$28*(1+'📊 ДОПУЩЕНИЯ'!$C$13)^INT((31-1)/12),0)</f>
        <v>55125</v>
      </c>
      <c r="AH26" s="173">
        <f>ROUND('⚙️ ПАРАМЕТРЫ'!$C$28*(1+'📊 ДОПУЩЕНИЯ'!$C$13)^INT((32-1)/12),0)</f>
        <v>55125</v>
      </c>
      <c r="AI26" s="173">
        <f>ROUND('⚙️ ПАРАМЕТРЫ'!$C$28*(1+'📊 ДОПУЩЕНИЯ'!$C$13)^INT((33-1)/12),0)</f>
        <v>55125</v>
      </c>
      <c r="AJ26" s="173">
        <f>ROUND('⚙️ ПАРАМЕТРЫ'!$C$28*(1+'📊 ДОПУЩЕНИЯ'!$C$13)^INT((34-1)/12),0)</f>
        <v>55125</v>
      </c>
      <c r="AK26" s="173">
        <f>ROUND('⚙️ ПАРАМЕТРЫ'!$C$28*(1+'📊 ДОПУЩЕНИЯ'!$C$13)^INT((35-1)/12),0)</f>
        <v>55125</v>
      </c>
      <c r="AL26" s="174">
        <f>ROUND('⚙️ ПАРАМЕТРЫ'!$C$28*(1+'📊 ДОПУЩЕНИЯ'!$C$13)^INT((36-1)/12),0)</f>
        <v>55125</v>
      </c>
    </row>
    <row r="27" spans="1:38" x14ac:dyDescent="0.25">
      <c r="A27" s="164"/>
      <c r="B27" s="164" t="s">
        <v>117</v>
      </c>
      <c r="C27" s="172">
        <f>ROUND('⚙️ ПАРАМЕТРЫ'!$C$29*(1+'📊 ДОПУЩЕНИЯ'!$C$11)^INT((1-1)/12),0)</f>
        <v>3500</v>
      </c>
      <c r="D27" s="173">
        <f>ROUND('⚙️ ПАРАМЕТРЫ'!$C$29*(1+'📊 ДОПУЩЕНИЯ'!$C$11)^INT((2-1)/12),0)</f>
        <v>3500</v>
      </c>
      <c r="E27" s="173">
        <f>ROUND('⚙️ ПАРАМЕТРЫ'!$C$29*(1+'📊 ДОПУЩЕНИЯ'!$C$11)^INT((3-1)/12),0)</f>
        <v>3500</v>
      </c>
      <c r="F27" s="173">
        <f>ROUND('⚙️ ПАРАМЕТРЫ'!$C$29*(1+'📊 ДОПУЩЕНИЯ'!$C$11)^INT((4-1)/12),0)</f>
        <v>3500</v>
      </c>
      <c r="G27" s="173">
        <f>ROUND('⚙️ ПАРАМЕТРЫ'!$C$29*(1+'📊 ДОПУЩЕНИЯ'!$C$11)^INT((5-1)/12),0)</f>
        <v>3500</v>
      </c>
      <c r="H27" s="173">
        <f>ROUND('⚙️ ПАРАМЕТРЫ'!$C$29*(1+'📊 ДОПУЩЕНИЯ'!$C$11)^INT((6-1)/12),0)</f>
        <v>3500</v>
      </c>
      <c r="I27" s="173">
        <f>ROUND('⚙️ ПАРАМЕТРЫ'!$C$29*(1+'📊 ДОПУЩЕНИЯ'!$C$11)^INT((7-1)/12),0)</f>
        <v>3500</v>
      </c>
      <c r="J27" s="173">
        <f>ROUND('⚙️ ПАРАМЕТРЫ'!$C$29*(1+'📊 ДОПУЩЕНИЯ'!$C$11)^INT((8-1)/12),0)</f>
        <v>3500</v>
      </c>
      <c r="K27" s="173">
        <f>ROUND('⚙️ ПАРАМЕТРЫ'!$C$29*(1+'📊 ДОПУЩЕНИЯ'!$C$11)^INT((9-1)/12),0)</f>
        <v>3500</v>
      </c>
      <c r="L27" s="173">
        <f>ROUND('⚙️ ПАРАМЕТРЫ'!$C$29*(1+'📊 ДОПУЩЕНИЯ'!$C$11)^INT((10-1)/12),0)</f>
        <v>3500</v>
      </c>
      <c r="M27" s="173">
        <f>ROUND('⚙️ ПАРАМЕТРЫ'!$C$29*(1+'📊 ДОПУЩЕНИЯ'!$C$11)^INT((11-1)/12),0)</f>
        <v>3500</v>
      </c>
      <c r="N27" s="173">
        <f>ROUND('⚙️ ПАРАМЕТРЫ'!$C$29*(1+'📊 ДОПУЩЕНИЯ'!$C$11)^INT((12-1)/12),0)</f>
        <v>3500</v>
      </c>
      <c r="O27" s="173">
        <f>ROUND('⚙️ ПАРАМЕТРЫ'!$C$29*(1+'📊 ДОПУЩЕНИЯ'!$C$11)^INT((13-1)/12),0)</f>
        <v>3920</v>
      </c>
      <c r="P27" s="173">
        <f>ROUND('⚙️ ПАРАМЕТРЫ'!$C$29*(1+'📊 ДОПУЩЕНИЯ'!$C$11)^INT((14-1)/12),0)</f>
        <v>3920</v>
      </c>
      <c r="Q27" s="173">
        <f>ROUND('⚙️ ПАРАМЕТРЫ'!$C$29*(1+'📊 ДОПУЩЕНИЯ'!$C$11)^INT((15-1)/12),0)</f>
        <v>3920</v>
      </c>
      <c r="R27" s="173">
        <f>ROUND('⚙️ ПАРАМЕТРЫ'!$C$29*(1+'📊 ДОПУЩЕНИЯ'!$C$11)^INT((16-1)/12),0)</f>
        <v>3920</v>
      </c>
      <c r="S27" s="173">
        <f>ROUND('⚙️ ПАРАМЕТРЫ'!$C$29*(1+'📊 ДОПУЩЕНИЯ'!$C$11)^INT((17-1)/12),0)</f>
        <v>3920</v>
      </c>
      <c r="T27" s="173">
        <f>ROUND('⚙️ ПАРАМЕТРЫ'!$C$29*(1+'📊 ДОПУЩЕНИЯ'!$C$11)^INT((18-1)/12),0)</f>
        <v>3920</v>
      </c>
      <c r="U27" s="173">
        <f>ROUND('⚙️ ПАРАМЕТРЫ'!$C$29*(1+'📊 ДОПУЩЕНИЯ'!$C$11)^INT((19-1)/12),0)</f>
        <v>3920</v>
      </c>
      <c r="V27" s="173">
        <f>ROUND('⚙️ ПАРАМЕТРЫ'!$C$29*(1+'📊 ДОПУЩЕНИЯ'!$C$11)^INT((20-1)/12),0)</f>
        <v>3920</v>
      </c>
      <c r="W27" s="173">
        <f>ROUND('⚙️ ПАРАМЕТРЫ'!$C$29*(1+'📊 ДОПУЩЕНИЯ'!$C$11)^INT((21-1)/12),0)</f>
        <v>3920</v>
      </c>
      <c r="X27" s="173">
        <f>ROUND('⚙️ ПАРАМЕТРЫ'!$C$29*(1+'📊 ДОПУЩЕНИЯ'!$C$11)^INT((22-1)/12),0)</f>
        <v>3920</v>
      </c>
      <c r="Y27" s="173">
        <f>ROUND('⚙️ ПАРАМЕТРЫ'!$C$29*(1+'📊 ДОПУЩЕНИЯ'!$C$11)^INT((23-1)/12),0)</f>
        <v>3920</v>
      </c>
      <c r="Z27" s="173">
        <f>ROUND('⚙️ ПАРАМЕТРЫ'!$C$29*(1+'📊 ДОПУЩЕНИЯ'!$C$11)^INT((24-1)/12),0)</f>
        <v>3920</v>
      </c>
      <c r="AA27" s="173">
        <f>ROUND('⚙️ ПАРАМЕТРЫ'!$C$29*(1+'📊 ДОПУЩЕНИЯ'!$C$11)^INT((25-1)/12),0)</f>
        <v>4390</v>
      </c>
      <c r="AB27" s="173">
        <f>ROUND('⚙️ ПАРАМЕТРЫ'!$C$29*(1+'📊 ДОПУЩЕНИЯ'!$C$11)^INT((26-1)/12),0)</f>
        <v>4390</v>
      </c>
      <c r="AC27" s="173">
        <f>ROUND('⚙️ ПАРАМЕТРЫ'!$C$29*(1+'📊 ДОПУЩЕНИЯ'!$C$11)^INT((27-1)/12),0)</f>
        <v>4390</v>
      </c>
      <c r="AD27" s="173">
        <f>ROUND('⚙️ ПАРАМЕТРЫ'!$C$29*(1+'📊 ДОПУЩЕНИЯ'!$C$11)^INT((28-1)/12),0)</f>
        <v>4390</v>
      </c>
      <c r="AE27" s="173">
        <f>ROUND('⚙️ ПАРАМЕТРЫ'!$C$29*(1+'📊 ДОПУЩЕНИЯ'!$C$11)^INT((29-1)/12),0)</f>
        <v>4390</v>
      </c>
      <c r="AF27" s="173">
        <f>ROUND('⚙️ ПАРАМЕТРЫ'!$C$29*(1+'📊 ДОПУЩЕНИЯ'!$C$11)^INT((30-1)/12),0)</f>
        <v>4390</v>
      </c>
      <c r="AG27" s="173">
        <f>ROUND('⚙️ ПАРАМЕТРЫ'!$C$29*(1+'📊 ДОПУЩЕНИЯ'!$C$11)^INT((31-1)/12),0)</f>
        <v>4390</v>
      </c>
      <c r="AH27" s="173">
        <f>ROUND('⚙️ ПАРАМЕТРЫ'!$C$29*(1+'📊 ДОПУЩЕНИЯ'!$C$11)^INT((32-1)/12),0)</f>
        <v>4390</v>
      </c>
      <c r="AI27" s="173">
        <f>ROUND('⚙️ ПАРАМЕТРЫ'!$C$29*(1+'📊 ДОПУЩЕНИЯ'!$C$11)^INT((33-1)/12),0)</f>
        <v>4390</v>
      </c>
      <c r="AJ27" s="173">
        <f>ROUND('⚙️ ПАРАМЕТРЫ'!$C$29*(1+'📊 ДОПУЩЕНИЯ'!$C$11)^INT((34-1)/12),0)</f>
        <v>4390</v>
      </c>
      <c r="AK27" s="173">
        <f>ROUND('⚙️ ПАРАМЕТРЫ'!$C$29*(1+'📊 ДОПУЩЕНИЯ'!$C$11)^INT((35-1)/12),0)</f>
        <v>4390</v>
      </c>
      <c r="AL27" s="174">
        <f>ROUND('⚙️ ПАРАМЕТРЫ'!$C$29*(1+'📊 ДОПУЩЕНИЯ'!$C$11)^INT((36-1)/12),0)</f>
        <v>4390</v>
      </c>
    </row>
    <row r="28" spans="1:38" x14ac:dyDescent="0.25">
      <c r="A28" s="164"/>
      <c r="B28" s="164" t="s">
        <v>363</v>
      </c>
      <c r="C28" s="172">
        <f>ROUND('⚙️ ПАРАМЕТРЫ'!$C$30*(1+'📊 ДОПУЩЕНИЯ'!$C$12)^INT((1-1)/12),0)</f>
        <v>5000</v>
      </c>
      <c r="D28" s="173">
        <f>ROUND('⚙️ ПАРАМЕТРЫ'!$C$30*(1+'📊 ДОПУЩЕНИЯ'!$C$12)^INT((2-1)/12),0)</f>
        <v>5000</v>
      </c>
      <c r="E28" s="173">
        <f>ROUND('⚙️ ПАРАМЕТРЫ'!$C$30*(1+'📊 ДОПУЩЕНИЯ'!$C$12)^INT((3-1)/12),0)</f>
        <v>5000</v>
      </c>
      <c r="F28" s="173">
        <f>ROUND('⚙️ ПАРАМЕТРЫ'!$C$30*(1+'📊 ДОПУЩЕНИЯ'!$C$12)^INT((4-1)/12),0)</f>
        <v>5000</v>
      </c>
      <c r="G28" s="173">
        <f>ROUND('⚙️ ПАРАМЕТРЫ'!$C$30*(1+'📊 ДОПУЩЕНИЯ'!$C$12)^INT((5-1)/12),0)</f>
        <v>5000</v>
      </c>
      <c r="H28" s="173">
        <f>ROUND('⚙️ ПАРАМЕТРЫ'!$C$30*(1+'📊 ДОПУЩЕНИЯ'!$C$12)^INT((6-1)/12),0)</f>
        <v>5000</v>
      </c>
      <c r="I28" s="173">
        <f>ROUND('⚙️ ПАРАМЕТРЫ'!$C$30*(1+'📊 ДОПУЩЕНИЯ'!$C$12)^INT((7-1)/12),0)</f>
        <v>5000</v>
      </c>
      <c r="J28" s="173">
        <f>ROUND('⚙️ ПАРАМЕТРЫ'!$C$30*(1+'📊 ДОПУЩЕНИЯ'!$C$12)^INT((8-1)/12),0)</f>
        <v>5000</v>
      </c>
      <c r="K28" s="173">
        <f>ROUND('⚙️ ПАРАМЕТРЫ'!$C$30*(1+'📊 ДОПУЩЕНИЯ'!$C$12)^INT((9-1)/12),0)</f>
        <v>5000</v>
      </c>
      <c r="L28" s="173">
        <f>ROUND('⚙️ ПАРАМЕТРЫ'!$C$30*(1+'📊 ДОПУЩЕНИЯ'!$C$12)^INT((10-1)/12),0)</f>
        <v>5000</v>
      </c>
      <c r="M28" s="173">
        <f>ROUND('⚙️ ПАРАМЕТРЫ'!$C$30*(1+'📊 ДОПУЩЕНИЯ'!$C$12)^INT((11-1)/12),0)</f>
        <v>5000</v>
      </c>
      <c r="N28" s="173">
        <f>ROUND('⚙️ ПАРАМЕТРЫ'!$C$30*(1+'📊 ДОПУЩЕНИЯ'!$C$12)^INT((12-1)/12),0)</f>
        <v>5000</v>
      </c>
      <c r="O28" s="173">
        <f>ROUND('⚙️ ПАРАМЕТРЫ'!$C$30*(1+'📊 ДОПУЩЕНИЯ'!$C$12)^INT((13-1)/12),0)</f>
        <v>5400</v>
      </c>
      <c r="P28" s="173">
        <f>ROUND('⚙️ ПАРАМЕТРЫ'!$C$30*(1+'📊 ДОПУЩЕНИЯ'!$C$12)^INT((14-1)/12),0)</f>
        <v>5400</v>
      </c>
      <c r="Q28" s="173">
        <f>ROUND('⚙️ ПАРАМЕТРЫ'!$C$30*(1+'📊 ДОПУЩЕНИЯ'!$C$12)^INT((15-1)/12),0)</f>
        <v>5400</v>
      </c>
      <c r="R28" s="173">
        <f>ROUND('⚙️ ПАРАМЕТРЫ'!$C$30*(1+'📊 ДОПУЩЕНИЯ'!$C$12)^INT((16-1)/12),0)</f>
        <v>5400</v>
      </c>
      <c r="S28" s="173">
        <f>ROUND('⚙️ ПАРАМЕТРЫ'!$C$30*(1+'📊 ДОПУЩЕНИЯ'!$C$12)^INT((17-1)/12),0)</f>
        <v>5400</v>
      </c>
      <c r="T28" s="173">
        <f>ROUND('⚙️ ПАРАМЕТРЫ'!$C$30*(1+'📊 ДОПУЩЕНИЯ'!$C$12)^INT((18-1)/12),0)</f>
        <v>5400</v>
      </c>
      <c r="U28" s="173">
        <f>ROUND('⚙️ ПАРАМЕТРЫ'!$C$30*(1+'📊 ДОПУЩЕНИЯ'!$C$12)^INT((19-1)/12),0)</f>
        <v>5400</v>
      </c>
      <c r="V28" s="173">
        <f>ROUND('⚙️ ПАРАМЕТРЫ'!$C$30*(1+'📊 ДОПУЩЕНИЯ'!$C$12)^INT((20-1)/12),0)</f>
        <v>5400</v>
      </c>
      <c r="W28" s="173">
        <f>ROUND('⚙️ ПАРАМЕТРЫ'!$C$30*(1+'📊 ДОПУЩЕНИЯ'!$C$12)^INT((21-1)/12),0)</f>
        <v>5400</v>
      </c>
      <c r="X28" s="173">
        <f>ROUND('⚙️ ПАРАМЕТРЫ'!$C$30*(1+'📊 ДОПУЩЕНИЯ'!$C$12)^INT((22-1)/12),0)</f>
        <v>5400</v>
      </c>
      <c r="Y28" s="173">
        <f>ROUND('⚙️ ПАРАМЕТРЫ'!$C$30*(1+'📊 ДОПУЩЕНИЯ'!$C$12)^INT((23-1)/12),0)</f>
        <v>5400</v>
      </c>
      <c r="Z28" s="173">
        <f>ROUND('⚙️ ПАРАМЕТРЫ'!$C$30*(1+'📊 ДОПУЩЕНИЯ'!$C$12)^INT((24-1)/12),0)</f>
        <v>5400</v>
      </c>
      <c r="AA28" s="173">
        <f>ROUND('⚙️ ПАРАМЕТРЫ'!$C$30*(1+'📊 ДОПУЩЕНИЯ'!$C$12)^INT((25-1)/12),0)</f>
        <v>5832</v>
      </c>
      <c r="AB28" s="173">
        <f>ROUND('⚙️ ПАРАМЕТРЫ'!$C$30*(1+'📊 ДОПУЩЕНИЯ'!$C$12)^INT((26-1)/12),0)</f>
        <v>5832</v>
      </c>
      <c r="AC28" s="173">
        <f>ROUND('⚙️ ПАРАМЕТРЫ'!$C$30*(1+'📊 ДОПУЩЕНИЯ'!$C$12)^INT((27-1)/12),0)</f>
        <v>5832</v>
      </c>
      <c r="AD28" s="173">
        <f>ROUND('⚙️ ПАРАМЕТРЫ'!$C$30*(1+'📊 ДОПУЩЕНИЯ'!$C$12)^INT((28-1)/12),0)</f>
        <v>5832</v>
      </c>
      <c r="AE28" s="173">
        <f>ROUND('⚙️ ПАРАМЕТРЫ'!$C$30*(1+'📊 ДОПУЩЕНИЯ'!$C$12)^INT((29-1)/12),0)</f>
        <v>5832</v>
      </c>
      <c r="AF28" s="173">
        <f>ROUND('⚙️ ПАРАМЕТРЫ'!$C$30*(1+'📊 ДОПУЩЕНИЯ'!$C$12)^INT((30-1)/12),0)</f>
        <v>5832</v>
      </c>
      <c r="AG28" s="173">
        <f>ROUND('⚙️ ПАРАМЕТРЫ'!$C$30*(1+'📊 ДОПУЩЕНИЯ'!$C$12)^INT((31-1)/12),0)</f>
        <v>5832</v>
      </c>
      <c r="AH28" s="173">
        <f>ROUND('⚙️ ПАРАМЕТРЫ'!$C$30*(1+'📊 ДОПУЩЕНИЯ'!$C$12)^INT((32-1)/12),0)</f>
        <v>5832</v>
      </c>
      <c r="AI28" s="173">
        <f>ROUND('⚙️ ПАРАМЕТРЫ'!$C$30*(1+'📊 ДОПУЩЕНИЯ'!$C$12)^INT((33-1)/12),0)</f>
        <v>5832</v>
      </c>
      <c r="AJ28" s="173">
        <f>ROUND('⚙️ ПАРАМЕТРЫ'!$C$30*(1+'📊 ДОПУЩЕНИЯ'!$C$12)^INT((34-1)/12),0)</f>
        <v>5832</v>
      </c>
      <c r="AK28" s="173">
        <f>ROUND('⚙️ ПАРАМЕТРЫ'!$C$30*(1+'📊 ДОПУЩЕНИЯ'!$C$12)^INT((35-1)/12),0)</f>
        <v>5832</v>
      </c>
      <c r="AL28" s="174">
        <f>ROUND('⚙️ ПАРАМЕТРЫ'!$C$30*(1+'📊 ДОПУЩЕНИЯ'!$C$12)^INT((36-1)/12),0)</f>
        <v>5832</v>
      </c>
    </row>
    <row r="29" spans="1:38" x14ac:dyDescent="0.25">
      <c r="A29" s="164"/>
      <c r="B29" s="164" t="s">
        <v>364</v>
      </c>
      <c r="C29" s="175">
        <f>ROUND('⚙️ ПАРАМЕТРЫ'!$C$31*(1+'📊 ДОПУЩЕНИЯ'!$C$12)^INT((1-1)/12),0)</f>
        <v>10000</v>
      </c>
      <c r="D29" s="176">
        <f>ROUND('⚙️ ПАРАМЕТРЫ'!$C$31*(1+'📊 ДОПУЩЕНИЯ'!$C$12)^INT((2-1)/12),0)</f>
        <v>10000</v>
      </c>
      <c r="E29" s="176">
        <f>ROUND('⚙️ ПАРАМЕТРЫ'!$C$31*(1+'📊 ДОПУЩЕНИЯ'!$C$12)^INT((3-1)/12),0)</f>
        <v>10000</v>
      </c>
      <c r="F29" s="176">
        <f>ROUND('⚙️ ПАРАМЕТРЫ'!$C$31*(1+'📊 ДОПУЩЕНИЯ'!$C$12)^INT((4-1)/12),0)</f>
        <v>10000</v>
      </c>
      <c r="G29" s="176">
        <f>ROUND('⚙️ ПАРАМЕТРЫ'!$C$31*(1+'📊 ДОПУЩЕНИЯ'!$C$12)^INT((5-1)/12),0)</f>
        <v>10000</v>
      </c>
      <c r="H29" s="176">
        <f>ROUND('⚙️ ПАРАМЕТРЫ'!$C$31*(1+'📊 ДОПУЩЕНИЯ'!$C$12)^INT((6-1)/12),0)</f>
        <v>10000</v>
      </c>
      <c r="I29" s="176">
        <f>ROUND('⚙️ ПАРАМЕТРЫ'!$C$31*(1+'📊 ДОПУЩЕНИЯ'!$C$12)^INT((7-1)/12),0)</f>
        <v>10000</v>
      </c>
      <c r="J29" s="176">
        <f>ROUND('⚙️ ПАРАМЕТРЫ'!$C$31*(1+'📊 ДОПУЩЕНИЯ'!$C$12)^INT((8-1)/12),0)</f>
        <v>10000</v>
      </c>
      <c r="K29" s="176">
        <f>ROUND('⚙️ ПАРАМЕТРЫ'!$C$31*(1+'📊 ДОПУЩЕНИЯ'!$C$12)^INT((9-1)/12),0)</f>
        <v>10000</v>
      </c>
      <c r="L29" s="176">
        <f>ROUND('⚙️ ПАРАМЕТРЫ'!$C$31*(1+'📊 ДОПУЩЕНИЯ'!$C$12)^INT((10-1)/12),0)</f>
        <v>10000</v>
      </c>
      <c r="M29" s="176">
        <f>ROUND('⚙️ ПАРАМЕТРЫ'!$C$31*(1+'📊 ДОПУЩЕНИЯ'!$C$12)^INT((11-1)/12),0)</f>
        <v>10000</v>
      </c>
      <c r="N29" s="176">
        <f>ROUND('⚙️ ПАРАМЕТРЫ'!$C$31*(1+'📊 ДОПУЩЕНИЯ'!$C$12)^INT((12-1)/12),0)</f>
        <v>10000</v>
      </c>
      <c r="O29" s="176">
        <f>ROUND('⚙️ ПАРАМЕТРЫ'!$C$31*(1+'📊 ДОПУЩЕНИЯ'!$C$12)^INT((13-1)/12),0)</f>
        <v>10800</v>
      </c>
      <c r="P29" s="176">
        <f>ROUND('⚙️ ПАРАМЕТРЫ'!$C$31*(1+'📊 ДОПУЩЕНИЯ'!$C$12)^INT((14-1)/12),0)</f>
        <v>10800</v>
      </c>
      <c r="Q29" s="176">
        <f>ROUND('⚙️ ПАРАМЕТРЫ'!$C$31*(1+'📊 ДОПУЩЕНИЯ'!$C$12)^INT((15-1)/12),0)</f>
        <v>10800</v>
      </c>
      <c r="R29" s="176">
        <f>ROUND('⚙️ ПАРАМЕТРЫ'!$C$31*(1+'📊 ДОПУЩЕНИЯ'!$C$12)^INT((16-1)/12),0)</f>
        <v>10800</v>
      </c>
      <c r="S29" s="176">
        <f>ROUND('⚙️ ПАРАМЕТРЫ'!$C$31*(1+'📊 ДОПУЩЕНИЯ'!$C$12)^INT((17-1)/12),0)</f>
        <v>10800</v>
      </c>
      <c r="T29" s="176">
        <f>ROUND('⚙️ ПАРАМЕТРЫ'!$C$31*(1+'📊 ДОПУЩЕНИЯ'!$C$12)^INT((18-1)/12),0)</f>
        <v>10800</v>
      </c>
      <c r="U29" s="176">
        <f>ROUND('⚙️ ПАРАМЕТРЫ'!$C$31*(1+'📊 ДОПУЩЕНИЯ'!$C$12)^INT((19-1)/12),0)</f>
        <v>10800</v>
      </c>
      <c r="V29" s="176">
        <f>ROUND('⚙️ ПАРАМЕТРЫ'!$C$31*(1+'📊 ДОПУЩЕНИЯ'!$C$12)^INT((20-1)/12),0)</f>
        <v>10800</v>
      </c>
      <c r="W29" s="176">
        <f>ROUND('⚙️ ПАРАМЕТРЫ'!$C$31*(1+'📊 ДОПУЩЕНИЯ'!$C$12)^INT((21-1)/12),0)</f>
        <v>10800</v>
      </c>
      <c r="X29" s="176">
        <f>ROUND('⚙️ ПАРАМЕТРЫ'!$C$31*(1+'📊 ДОПУЩЕНИЯ'!$C$12)^INT((22-1)/12),0)</f>
        <v>10800</v>
      </c>
      <c r="Y29" s="176">
        <f>ROUND('⚙️ ПАРАМЕТРЫ'!$C$31*(1+'📊 ДОПУЩЕНИЯ'!$C$12)^INT((23-1)/12),0)</f>
        <v>10800</v>
      </c>
      <c r="Z29" s="176">
        <f>ROUND('⚙️ ПАРАМЕТРЫ'!$C$31*(1+'📊 ДОПУЩЕНИЯ'!$C$12)^INT((24-1)/12),0)</f>
        <v>10800</v>
      </c>
      <c r="AA29" s="176">
        <f>ROUND('⚙️ ПАРАМЕТРЫ'!$C$31*(1+'📊 ДОПУЩЕНИЯ'!$C$12)^INT((25-1)/12),0)</f>
        <v>11664</v>
      </c>
      <c r="AB29" s="176">
        <f>ROUND('⚙️ ПАРАМЕТРЫ'!$C$31*(1+'📊 ДОПУЩЕНИЯ'!$C$12)^INT((26-1)/12),0)</f>
        <v>11664</v>
      </c>
      <c r="AC29" s="176">
        <f>ROUND('⚙️ ПАРАМЕТРЫ'!$C$31*(1+'📊 ДОПУЩЕНИЯ'!$C$12)^INT((27-1)/12),0)</f>
        <v>11664</v>
      </c>
      <c r="AD29" s="176">
        <f>ROUND('⚙️ ПАРАМЕТРЫ'!$C$31*(1+'📊 ДОПУЩЕНИЯ'!$C$12)^INT((28-1)/12),0)</f>
        <v>11664</v>
      </c>
      <c r="AE29" s="176">
        <f>ROUND('⚙️ ПАРАМЕТРЫ'!$C$31*(1+'📊 ДОПУЩЕНИЯ'!$C$12)^INT((29-1)/12),0)</f>
        <v>11664</v>
      </c>
      <c r="AF29" s="176">
        <f>ROUND('⚙️ ПАРАМЕТРЫ'!$C$31*(1+'📊 ДОПУЩЕНИЯ'!$C$12)^INT((30-1)/12),0)</f>
        <v>11664</v>
      </c>
      <c r="AG29" s="176">
        <f>ROUND('⚙️ ПАРАМЕТРЫ'!$C$31*(1+'📊 ДОПУЩЕНИЯ'!$C$12)^INT((31-1)/12),0)</f>
        <v>11664</v>
      </c>
      <c r="AH29" s="176">
        <f>ROUND('⚙️ ПАРАМЕТРЫ'!$C$31*(1+'📊 ДОПУЩЕНИЯ'!$C$12)^INT((32-1)/12),0)</f>
        <v>11664</v>
      </c>
      <c r="AI29" s="176">
        <f>ROUND('⚙️ ПАРАМЕТРЫ'!$C$31*(1+'📊 ДОПУЩЕНИЯ'!$C$12)^INT((33-1)/12),0)</f>
        <v>11664</v>
      </c>
      <c r="AJ29" s="176">
        <f>ROUND('⚙️ ПАРАМЕТРЫ'!$C$31*(1+'📊 ДОПУЩЕНИЯ'!$C$12)^INT((34-1)/12),0)</f>
        <v>11664</v>
      </c>
      <c r="AK29" s="176">
        <f>ROUND('⚙️ ПАРАМЕТРЫ'!$C$31*(1+'📊 ДОПУЩЕНИЯ'!$C$12)^INT((35-1)/12),0)</f>
        <v>11664</v>
      </c>
      <c r="AL29" s="177">
        <f>ROUND('⚙️ ПАРАМЕТРЫ'!$C$31*(1+'📊 ДОПУЩЕНИЯ'!$C$12)^INT((36-1)/12),0)</f>
        <v>11664</v>
      </c>
    </row>
    <row r="30" spans="1:38" x14ac:dyDescent="0.25">
      <c r="A30" s="178"/>
      <c r="B30" s="127" t="s">
        <v>365</v>
      </c>
      <c r="C30" s="179">
        <f t="shared" ref="C30:AL30" si="2">C18+C23+C24+C25+C26+C27+C28+C29</f>
        <v>593500</v>
      </c>
      <c r="D30" s="179">
        <f t="shared" si="2"/>
        <v>593500</v>
      </c>
      <c r="E30" s="179">
        <f t="shared" si="2"/>
        <v>593500</v>
      </c>
      <c r="F30" s="179">
        <f t="shared" si="2"/>
        <v>593500</v>
      </c>
      <c r="G30" s="179">
        <f t="shared" si="2"/>
        <v>593500</v>
      </c>
      <c r="H30" s="179">
        <f t="shared" si="2"/>
        <v>593500</v>
      </c>
      <c r="I30" s="179">
        <f t="shared" si="2"/>
        <v>593500</v>
      </c>
      <c r="J30" s="179">
        <f t="shared" si="2"/>
        <v>593500</v>
      </c>
      <c r="K30" s="179">
        <f t="shared" si="2"/>
        <v>593500</v>
      </c>
      <c r="L30" s="179">
        <f t="shared" si="2"/>
        <v>593500</v>
      </c>
      <c r="M30" s="179">
        <f t="shared" si="2"/>
        <v>593500</v>
      </c>
      <c r="N30" s="179">
        <f t="shared" si="2"/>
        <v>593500</v>
      </c>
      <c r="O30" s="179">
        <f t="shared" si="2"/>
        <v>641020</v>
      </c>
      <c r="P30" s="179">
        <f t="shared" si="2"/>
        <v>641020</v>
      </c>
      <c r="Q30" s="179">
        <f t="shared" si="2"/>
        <v>641020</v>
      </c>
      <c r="R30" s="179">
        <f t="shared" si="2"/>
        <v>641020</v>
      </c>
      <c r="S30" s="179">
        <f t="shared" si="2"/>
        <v>641020</v>
      </c>
      <c r="T30" s="179">
        <f t="shared" si="2"/>
        <v>641020</v>
      </c>
      <c r="U30" s="179">
        <f t="shared" si="2"/>
        <v>641020</v>
      </c>
      <c r="V30" s="179">
        <f t="shared" si="2"/>
        <v>641020</v>
      </c>
      <c r="W30" s="179">
        <f t="shared" si="2"/>
        <v>641020</v>
      </c>
      <c r="X30" s="179">
        <f t="shared" si="2"/>
        <v>641020</v>
      </c>
      <c r="Y30" s="179">
        <f t="shared" si="2"/>
        <v>641020</v>
      </c>
      <c r="Z30" s="179">
        <f t="shared" si="2"/>
        <v>641020</v>
      </c>
      <c r="AA30" s="179">
        <f t="shared" si="2"/>
        <v>692424</v>
      </c>
      <c r="AB30" s="179">
        <f t="shared" si="2"/>
        <v>692424</v>
      </c>
      <c r="AC30" s="179">
        <f t="shared" si="2"/>
        <v>692424</v>
      </c>
      <c r="AD30" s="179">
        <f t="shared" si="2"/>
        <v>692424</v>
      </c>
      <c r="AE30" s="179">
        <f t="shared" si="2"/>
        <v>692424</v>
      </c>
      <c r="AF30" s="179">
        <f t="shared" si="2"/>
        <v>692424</v>
      </c>
      <c r="AG30" s="179">
        <f t="shared" si="2"/>
        <v>692424</v>
      </c>
      <c r="AH30" s="179">
        <f t="shared" si="2"/>
        <v>692424</v>
      </c>
      <c r="AI30" s="179">
        <f t="shared" si="2"/>
        <v>692424</v>
      </c>
      <c r="AJ30" s="179">
        <f t="shared" si="2"/>
        <v>692424</v>
      </c>
      <c r="AK30" s="179">
        <f t="shared" si="2"/>
        <v>692424</v>
      </c>
      <c r="AL30" s="179">
        <f t="shared" si="2"/>
        <v>692424</v>
      </c>
    </row>
    <row r="31" spans="1:38" x14ac:dyDescent="0.25">
      <c r="A31" s="178"/>
      <c r="B31" s="127" t="s">
        <v>303</v>
      </c>
      <c r="C31" s="180">
        <f t="shared" ref="C31:AL31" si="3">C16-C30</f>
        <v>135620</v>
      </c>
      <c r="D31" s="180">
        <f t="shared" si="3"/>
        <v>734540</v>
      </c>
      <c r="E31" s="180">
        <f t="shared" si="3"/>
        <v>1411580</v>
      </c>
      <c r="F31" s="180">
        <f t="shared" si="3"/>
        <v>1411580</v>
      </c>
      <c r="G31" s="180">
        <f t="shared" si="3"/>
        <v>1333460</v>
      </c>
      <c r="H31" s="180">
        <f t="shared" si="3"/>
        <v>1229300</v>
      </c>
      <c r="I31" s="180">
        <f t="shared" si="3"/>
        <v>1151180</v>
      </c>
      <c r="J31" s="180">
        <f t="shared" si="3"/>
        <v>1151180</v>
      </c>
      <c r="K31" s="180">
        <f t="shared" si="3"/>
        <v>1593860</v>
      </c>
      <c r="L31" s="180">
        <f t="shared" si="3"/>
        <v>968900</v>
      </c>
      <c r="M31" s="180">
        <f t="shared" si="3"/>
        <v>968900</v>
      </c>
      <c r="N31" s="180">
        <f t="shared" si="3"/>
        <v>1047020</v>
      </c>
      <c r="O31" s="180">
        <f t="shared" si="3"/>
        <v>1468220</v>
      </c>
      <c r="P31" s="180">
        <f t="shared" si="3"/>
        <v>1580713</v>
      </c>
      <c r="Q31" s="180">
        <f t="shared" si="3"/>
        <v>1665082</v>
      </c>
      <c r="R31" s="180">
        <f t="shared" si="3"/>
        <v>1665082</v>
      </c>
      <c r="S31" s="180">
        <f t="shared" si="3"/>
        <v>1580713</v>
      </c>
      <c r="T31" s="180">
        <f t="shared" si="3"/>
        <v>1468220</v>
      </c>
      <c r="U31" s="180">
        <f t="shared" si="3"/>
        <v>1355727</v>
      </c>
      <c r="V31" s="180">
        <f t="shared" si="3"/>
        <v>1355727</v>
      </c>
      <c r="W31" s="180">
        <f t="shared" si="3"/>
        <v>1890068</v>
      </c>
      <c r="X31" s="180">
        <f t="shared" si="3"/>
        <v>1158865</v>
      </c>
      <c r="Y31" s="180">
        <f t="shared" si="3"/>
        <v>1158865</v>
      </c>
      <c r="Z31" s="180">
        <f t="shared" si="3"/>
        <v>1243234</v>
      </c>
      <c r="AA31" s="180">
        <f t="shared" si="3"/>
        <v>1737480</v>
      </c>
      <c r="AB31" s="180">
        <f t="shared" si="3"/>
        <v>1858975</v>
      </c>
      <c r="AC31" s="180">
        <f t="shared" si="3"/>
        <v>1980470</v>
      </c>
      <c r="AD31" s="180">
        <f t="shared" si="3"/>
        <v>1980470</v>
      </c>
      <c r="AE31" s="180">
        <f t="shared" si="3"/>
        <v>1858975</v>
      </c>
      <c r="AF31" s="180">
        <f t="shared" si="3"/>
        <v>1737480</v>
      </c>
      <c r="AG31" s="180">
        <f t="shared" si="3"/>
        <v>1615985</v>
      </c>
      <c r="AH31" s="180">
        <f t="shared" si="3"/>
        <v>1615985</v>
      </c>
      <c r="AI31" s="180">
        <f t="shared" si="3"/>
        <v>2223461</v>
      </c>
      <c r="AJ31" s="180">
        <f t="shared" si="3"/>
        <v>1372994</v>
      </c>
      <c r="AK31" s="180">
        <f t="shared" si="3"/>
        <v>1372994</v>
      </c>
      <c r="AL31" s="180">
        <f t="shared" si="3"/>
        <v>1494490</v>
      </c>
    </row>
    <row r="32" spans="1:38" x14ac:dyDescent="0.25">
      <c r="A32" s="164"/>
      <c r="B32" s="60" t="s">
        <v>366</v>
      </c>
      <c r="C32" s="160">
        <f>'⚙️ ПАРАМЕТРЫ'!$C$42</f>
        <v>17857</v>
      </c>
      <c r="D32" s="160">
        <f>'⚙️ ПАРАМЕТРЫ'!$C$42</f>
        <v>17857</v>
      </c>
      <c r="E32" s="160">
        <f>'⚙️ ПАРАМЕТРЫ'!$C$42</f>
        <v>17857</v>
      </c>
      <c r="F32" s="160">
        <f>'⚙️ ПАРАМЕТРЫ'!$C$42</f>
        <v>17857</v>
      </c>
      <c r="G32" s="160">
        <f>'⚙️ ПАРАМЕТРЫ'!$C$42</f>
        <v>17857</v>
      </c>
      <c r="H32" s="160">
        <f>'⚙️ ПАРАМЕТРЫ'!$C$42</f>
        <v>17857</v>
      </c>
      <c r="I32" s="160">
        <f>'⚙️ ПАРАМЕТРЫ'!$C$42</f>
        <v>17857</v>
      </c>
      <c r="J32" s="160">
        <f>'⚙️ ПАРАМЕТРЫ'!$C$42</f>
        <v>17857</v>
      </c>
      <c r="K32" s="160">
        <f>'⚙️ ПАРАМЕТРЫ'!$C$42</f>
        <v>17857</v>
      </c>
      <c r="L32" s="160">
        <f>'⚙️ ПАРАМЕТРЫ'!$C$42</f>
        <v>17857</v>
      </c>
      <c r="M32" s="160">
        <f>'⚙️ ПАРАМЕТРЫ'!$C$42</f>
        <v>17857</v>
      </c>
      <c r="N32" s="160">
        <f>'⚙️ ПАРАМЕТРЫ'!$C$42</f>
        <v>17857</v>
      </c>
      <c r="O32" s="160">
        <f>'⚙️ ПАРАМЕТРЫ'!$C$42</f>
        <v>17857</v>
      </c>
      <c r="P32" s="160">
        <f>'⚙️ ПАРАМЕТРЫ'!$C$42</f>
        <v>17857</v>
      </c>
      <c r="Q32" s="160">
        <f>'⚙️ ПАРАМЕТРЫ'!$C$42</f>
        <v>17857</v>
      </c>
      <c r="R32" s="160">
        <f>'⚙️ ПАРАМЕТРЫ'!$C$42</f>
        <v>17857</v>
      </c>
      <c r="S32" s="160">
        <f>'⚙️ ПАРАМЕТРЫ'!$C$42</f>
        <v>17857</v>
      </c>
      <c r="T32" s="160">
        <f>'⚙️ ПАРАМЕТРЫ'!$C$42</f>
        <v>17857</v>
      </c>
      <c r="U32" s="160">
        <f>'⚙️ ПАРАМЕТРЫ'!$C$42</f>
        <v>17857</v>
      </c>
      <c r="V32" s="160">
        <f>'⚙️ ПАРАМЕТРЫ'!$C$42</f>
        <v>17857</v>
      </c>
      <c r="W32" s="160">
        <f>'⚙️ ПАРАМЕТРЫ'!$C$42</f>
        <v>17857</v>
      </c>
      <c r="X32" s="160">
        <f>'⚙️ ПАРАМЕТРЫ'!$C$42</f>
        <v>17857</v>
      </c>
      <c r="Y32" s="160">
        <f>'⚙️ ПАРАМЕТРЫ'!$C$42</f>
        <v>17857</v>
      </c>
      <c r="Z32" s="160">
        <f>'⚙️ ПАРАМЕТРЫ'!$C$42</f>
        <v>17857</v>
      </c>
      <c r="AA32" s="160">
        <f>'⚙️ ПАРАМЕТРЫ'!$C$42</f>
        <v>17857</v>
      </c>
      <c r="AB32" s="160">
        <f>'⚙️ ПАРАМЕТРЫ'!$C$42</f>
        <v>17857</v>
      </c>
      <c r="AC32" s="160">
        <f>'⚙️ ПАРАМЕТРЫ'!$C$42</f>
        <v>17857</v>
      </c>
      <c r="AD32" s="160">
        <f>'⚙️ ПАРАМЕТРЫ'!$C$42</f>
        <v>17857</v>
      </c>
      <c r="AE32" s="160">
        <f>'⚙️ ПАРАМЕТРЫ'!$C$42</f>
        <v>17857</v>
      </c>
      <c r="AF32" s="160">
        <f>'⚙️ ПАРАМЕТРЫ'!$C$42</f>
        <v>17857</v>
      </c>
      <c r="AG32" s="160">
        <f>'⚙️ ПАРАМЕТРЫ'!$C$42</f>
        <v>17857</v>
      </c>
      <c r="AH32" s="160">
        <f>'⚙️ ПАРАМЕТРЫ'!$C$42</f>
        <v>17857</v>
      </c>
      <c r="AI32" s="160">
        <f>'⚙️ ПАРАМЕТРЫ'!$C$42</f>
        <v>17857</v>
      </c>
      <c r="AJ32" s="160">
        <f>'⚙️ ПАРАМЕТРЫ'!$C$42</f>
        <v>17857</v>
      </c>
      <c r="AK32" s="160">
        <f>'⚙️ ПАРАМЕТРЫ'!$C$42</f>
        <v>17857</v>
      </c>
      <c r="AL32" s="160">
        <f>'⚙️ ПАРАМЕТРЫ'!$C$42</f>
        <v>17857</v>
      </c>
    </row>
    <row r="33" spans="1:38" x14ac:dyDescent="0.25">
      <c r="A33" s="181"/>
      <c r="B33" s="182" t="s">
        <v>367</v>
      </c>
      <c r="C33" s="160">
        <f t="shared" ref="C33:AL33" si="4">C31-C32</f>
        <v>117763</v>
      </c>
      <c r="D33" s="160">
        <f t="shared" si="4"/>
        <v>716683</v>
      </c>
      <c r="E33" s="160">
        <f t="shared" si="4"/>
        <v>1393723</v>
      </c>
      <c r="F33" s="160">
        <f t="shared" si="4"/>
        <v>1393723</v>
      </c>
      <c r="G33" s="160">
        <f t="shared" si="4"/>
        <v>1315603</v>
      </c>
      <c r="H33" s="160">
        <f t="shared" si="4"/>
        <v>1211443</v>
      </c>
      <c r="I33" s="160">
        <f t="shared" si="4"/>
        <v>1133323</v>
      </c>
      <c r="J33" s="160">
        <f t="shared" si="4"/>
        <v>1133323</v>
      </c>
      <c r="K33" s="160">
        <f t="shared" si="4"/>
        <v>1576003</v>
      </c>
      <c r="L33" s="160">
        <f t="shared" si="4"/>
        <v>951043</v>
      </c>
      <c r="M33" s="160">
        <f t="shared" si="4"/>
        <v>951043</v>
      </c>
      <c r="N33" s="160">
        <f t="shared" si="4"/>
        <v>1029163</v>
      </c>
      <c r="O33" s="160">
        <f t="shared" si="4"/>
        <v>1450363</v>
      </c>
      <c r="P33" s="160">
        <f t="shared" si="4"/>
        <v>1562856</v>
      </c>
      <c r="Q33" s="160">
        <f t="shared" si="4"/>
        <v>1647225</v>
      </c>
      <c r="R33" s="160">
        <f t="shared" si="4"/>
        <v>1647225</v>
      </c>
      <c r="S33" s="160">
        <f t="shared" si="4"/>
        <v>1562856</v>
      </c>
      <c r="T33" s="160">
        <f t="shared" si="4"/>
        <v>1450363</v>
      </c>
      <c r="U33" s="160">
        <f t="shared" si="4"/>
        <v>1337870</v>
      </c>
      <c r="V33" s="160">
        <f t="shared" si="4"/>
        <v>1337870</v>
      </c>
      <c r="W33" s="160">
        <f t="shared" si="4"/>
        <v>1872211</v>
      </c>
      <c r="X33" s="160">
        <f t="shared" si="4"/>
        <v>1141008</v>
      </c>
      <c r="Y33" s="160">
        <f t="shared" si="4"/>
        <v>1141008</v>
      </c>
      <c r="Z33" s="160">
        <f t="shared" si="4"/>
        <v>1225377</v>
      </c>
      <c r="AA33" s="160">
        <f t="shared" si="4"/>
        <v>1719623</v>
      </c>
      <c r="AB33" s="160">
        <f t="shared" si="4"/>
        <v>1841118</v>
      </c>
      <c r="AC33" s="160">
        <f t="shared" si="4"/>
        <v>1962613</v>
      </c>
      <c r="AD33" s="160">
        <f t="shared" si="4"/>
        <v>1962613</v>
      </c>
      <c r="AE33" s="160">
        <f t="shared" si="4"/>
        <v>1841118</v>
      </c>
      <c r="AF33" s="160">
        <f t="shared" si="4"/>
        <v>1719623</v>
      </c>
      <c r="AG33" s="160">
        <f t="shared" si="4"/>
        <v>1598128</v>
      </c>
      <c r="AH33" s="160">
        <f t="shared" si="4"/>
        <v>1598128</v>
      </c>
      <c r="AI33" s="160">
        <f t="shared" si="4"/>
        <v>2205604</v>
      </c>
      <c r="AJ33" s="160">
        <f t="shared" si="4"/>
        <v>1355137</v>
      </c>
      <c r="AK33" s="160">
        <f t="shared" si="4"/>
        <v>1355137</v>
      </c>
      <c r="AL33" s="160">
        <f t="shared" si="4"/>
        <v>1476633</v>
      </c>
    </row>
    <row r="34" spans="1:38" x14ac:dyDescent="0.25">
      <c r="A34" s="164"/>
      <c r="B34" s="60" t="s">
        <v>368</v>
      </c>
      <c r="C34" s="160">
        <f>IF(1&lt;='⚙️ ПАРАМЕТРЫ'!$C$48,ABS(IPMT('⚙️ ПАРАМЕТРЫ'!$C$47/12,1,'⚙️ ПАРАМЕТРЫ'!$C$48,-'⚙️ ПАРАМЕТРЫ'!$C$46)),0)</f>
        <v>18333.333333333332</v>
      </c>
      <c r="D34" s="160">
        <f>IF(2&lt;='⚙️ ПАРАМЕТРЫ'!$C$48,ABS(IPMT('⚙️ ПАРАМЕТРЫ'!$C$47/12,2,'⚙️ ПАРАМЕТРЫ'!$C$48,-'⚙️ ПАРАМЕТРЫ'!$C$46)),0)</f>
        <v>17969.286136179104</v>
      </c>
      <c r="E34" s="160">
        <f>IF(3&lt;='⚙️ ПАРАМЕТРЫ'!$C$48,ABS(IPMT('⚙️ ПАРАМЕТРЫ'!$C$47/12,3,'⚙️ ПАРАМЕТРЫ'!$C$48,-'⚙️ ПАРАМЕТРЫ'!$C$46)),0)</f>
        <v>17598.56474041038</v>
      </c>
      <c r="F34" s="160">
        <f>IF(4&lt;='⚙️ ПАРАМЕТРЫ'!$C$48,ABS(IPMT('⚙️ ПАРАМЕТРЫ'!$C$47/12,4,'⚙️ ПАРАМЕТРЫ'!$C$48,-'⚙️ ПАРАМЕТРЫ'!$C$46)),0)</f>
        <v>17221.046785719227</v>
      </c>
      <c r="G34" s="160">
        <f>IF(5&lt;='⚙️ ПАРАМЕТРЫ'!$C$48,ABS(IPMT('⚙️ ПАРАМЕТРЫ'!$C$47/12,5,'⚙️ ПАРАМЕТРЫ'!$C$48,-'⚙️ ПАРАМЕТРЫ'!$C$46)),0)</f>
        <v>16836.607668525408</v>
      </c>
      <c r="H34" s="160">
        <f>IF(6&lt;='⚙️ ПАРАМЕТРЫ'!$C$48,ABS(IPMT('⚙️ ПАРАМЕТРЫ'!$C$47/12,6,'⚙️ ПАРАМЕТРЫ'!$C$48,-'⚙️ ПАРАМЕТРЫ'!$C$46)),0)</f>
        <v>16445.120500849698</v>
      </c>
      <c r="I34" s="160">
        <f>IF(7&lt;='⚙️ ПАРАМЕТРЫ'!$C$48,ABS(IPMT('⚙️ ПАРАМЕТРЫ'!$C$47/12,7,'⚙️ ПАРАМЕТРЫ'!$C$48,-'⚙️ ПАРАМЕТРЫ'!$C$46)),0)</f>
        <v>16046.456068433266</v>
      </c>
      <c r="J34" s="160">
        <f>IF(8&lt;='⚙️ ПАРАМЕТРЫ'!$C$48,ABS(IPMT('⚙️ ПАРАМЕТРЫ'!$C$47/12,8,'⚙️ ПАРАМЕТРЫ'!$C$48,-'⚙️ ПАРАМЕТРЫ'!$C$46)),0)</f>
        <v>15640.482788089204</v>
      </c>
      <c r="K34" s="160">
        <f>IF(9&lt;='⚙️ ПАРАМЕТРЫ'!$C$48,ABS(IPMT('⚙️ ПАРАМЕТРЫ'!$C$47/12,9,'⚙️ ПАРАМЕТРЫ'!$C$48,-'⚙️ ПАРАМЕТРЫ'!$C$46)),0)</f>
        <v>15227.066664272166</v>
      </c>
      <c r="L34" s="160">
        <f>IF(10&lt;='⚙️ ПАРАМЕТРЫ'!$C$48,ABS(IPMT('⚙️ ПАРАМЕТРЫ'!$C$47/12,10,'⚙️ ПАРАМЕТРЫ'!$C$48,-'⚙️ ПАРАМЕТРЫ'!$C$46)),0)</f>
        <v>14806.071244851815</v>
      </c>
      <c r="M34" s="160">
        <f>IF(11&lt;='⚙️ ПАРАМЕТРЫ'!$C$48,ABS(IPMT('⚙️ ПАРАМЕТРЫ'!$C$47/12,11,'⚙️ ПАРАМЕТРЫ'!$C$48,-'⚙️ ПАРАМЕТРЫ'!$C$46)),0)</f>
        <v>14377.357576075425</v>
      </c>
      <c r="N34" s="160">
        <f>IF(12&lt;='⚙️ ПАРАМЕТРЫ'!$C$48,ABS(IPMT('⚙️ ПАРАМЕТРЫ'!$C$47/12,12,'⚙️ ПАРАМЕТРЫ'!$C$48,-'⚙️ ПАРАМЕТРЫ'!$C$46)),0)</f>
        <v>13940.7841567048</v>
      </c>
      <c r="O34" s="160">
        <f>IF(13&lt;='⚙️ ПАРАМЕТРЫ'!$C$48,ABS(IPMT('⚙️ ПАРАМЕТРЫ'!$C$47/12,13,'⚙️ ПАРАМЕТРЫ'!$C$48,-'⚙️ ПАРАМЕТРЫ'!$C$46)),0)</f>
        <v>13496.206891312382</v>
      </c>
      <c r="P34" s="160">
        <f>IF(14&lt;='⚙️ ПАРАМЕТРЫ'!$C$48,ABS(IPMT('⚙️ ПАРАМЕТРЫ'!$C$47/12,14,'⚙️ ПАРАМЕТРЫ'!$C$48,-'⚙️ ПАРАМЕТРЫ'!$C$46)),0)</f>
        <v>13043.479042721101</v>
      </c>
      <c r="Q34" s="160">
        <f>IF(15&lt;='⚙️ ПАРАМЕТРЫ'!$C$48,ABS(IPMT('⚙️ ПАРАМЕТРЫ'!$C$47/12,15,'⚙️ ПАРАМЕТРЫ'!$C$48,-'⚙️ ПАРАМЕТРЫ'!$C$46)),0)</f>
        <v>12582.451183572311</v>
      </c>
      <c r="R34" s="160">
        <f>IF(16&lt;='⚙️ ПАРАМЕТРЫ'!$C$48,ABS(IPMT('⚙️ ПАРАМЕТРЫ'!$C$47/12,16,'⚙️ ПАРАМЕТРЫ'!$C$48,-'⚙️ ПАРАМЕТРЫ'!$C$46)),0)</f>
        <v>12112.971147005799</v>
      </c>
      <c r="S34" s="160">
        <f>IF(17&lt;='⚙️ ПАРАМЕТРЫ'!$C$48,ABS(IPMT('⚙️ ПАРАМЕТРЫ'!$C$47/12,17,'⚙️ ПАРАМЕТРЫ'!$C$48,-'⚙️ ПАРАМЕТРЫ'!$C$46)),0)</f>
        <v>11634.883976435563</v>
      </c>
      <c r="T34" s="160">
        <f>IF(18&lt;='⚙️ ПАРАМЕТРЫ'!$C$48,ABS(IPMT('⚙️ ПАРАМЕТРЫ'!$C$47/12,18,'⚙️ ПАРАМЕТРЫ'!$C$48,-'⚙️ ПАРАМЕТРЫ'!$C$46)),0)</f>
        <v>11148.031874404876</v>
      </c>
      <c r="U34" s="160">
        <f>IF(19&lt;='⚙️ ПАРАМЕТРЫ'!$C$48,ABS(IPMT('⚙️ ПАРАМЕТРЫ'!$C$47/12,19,'⚙️ ПАРАМЕТРЫ'!$C$48,-'⚙️ ПАРАМЕТРЫ'!$C$46)),0)</f>
        <v>10652.254150503624</v>
      </c>
      <c r="V34" s="160">
        <f>IF(20&lt;='⚙️ ПАРАМЕТРЫ'!$C$48,ABS(IPMT('⚙️ ПАРАМЕТРЫ'!$C$47/12,20,'⚙️ ПАРАМЕТРЫ'!$C$48,-'⚙️ ПАРАМЕТРЫ'!$C$46)),0)</f>
        <v>10147.387168330852</v>
      </c>
      <c r="W34" s="160">
        <f>IF(21&lt;='⚙️ ПАРАМЕТРЫ'!$C$48,ABS(IPMT('⚙️ ПАРАМЕТРЫ'!$C$47/12,21,'⚙️ ПАРАМЕТРЫ'!$C$48,-'⚙️ ПАРАМЕТРЫ'!$C$46)),0)</f>
        <v>9633.2642914849075</v>
      </c>
      <c r="X34" s="160">
        <f>IF(22&lt;='⚙️ ПАРАМЕТРЫ'!$C$48,ABS(IPMT('⚙️ ПАРАМЕТРЫ'!$C$47/12,22,'⚙️ ПАРАМЕТРЫ'!$C$48,-'⚙️ ПАРАМЕТРЫ'!$C$46)),0)</f>
        <v>9109.7158285634578</v>
      </c>
      <c r="Y34" s="160">
        <f>IF(23&lt;='⚙️ ПАРАМЕТРЫ'!$C$48,ABS(IPMT('⚙️ ПАРАМЕТРЫ'!$C$47/12,23,'⚙️ ПАРАМЕТРЫ'!$C$48,-'⚙️ ПАРАМЕТРЫ'!$C$46)),0)</f>
        <v>8576.5689771551115</v>
      </c>
      <c r="Z34" s="160">
        <f>IF(24&lt;='⚙️ ПАРАМЕТРЫ'!$C$48,ABS(IPMT('⚙️ ПАРАМЕТРЫ'!$C$47/12,24,'⚙️ ПАРАМЕТРЫ'!$C$48,-'⚙️ ПАРАМЕТРЫ'!$C$46)),0)</f>
        <v>8033.6477668042835</v>
      </c>
      <c r="AA34" s="160">
        <f>IF(25&lt;='⚙️ ПАРАМЕТРЫ'!$C$48,ABS(IPMT('⚙️ ПАРАМЕТРЫ'!$C$47/12,25,'⚙️ ПАРАМЕТРЫ'!$C$48,-'⚙️ ПАРАМЕТРЫ'!$C$46)),0)</f>
        <v>7480.7730009303541</v>
      </c>
      <c r="AB34" s="160">
        <f>IF(26&lt;='⚙️ ПАРАМЕТРЫ'!$C$48,ABS(IPMT('⚙️ ПАРАМЕТРЫ'!$C$47/12,26,'⚙️ ПАРАМЕТРЫ'!$C$48,-'⚙️ ПАРАМЕТРЫ'!$C$46)),0)</f>
        <v>6917.7621976820701</v>
      </c>
      <c r="AC34" s="160">
        <f>IF(27&lt;='⚙️ ПАРАМЕТРЫ'!$C$48,ABS(IPMT('⚙️ ПАРАМЕТРЫ'!$C$47/12,27,'⚙️ ПАРАМЕТРЫ'!$C$48,-'⚙️ ПАРАМЕТРЫ'!$C$46)),0)</f>
        <v>6344.4295297075669</v>
      </c>
      <c r="AD34" s="160">
        <f>IF(28&lt;='⚙️ ПАРАМЕТРЫ'!$C$48,ABS(IPMT('⚙️ ПАРАМЕТРЫ'!$C$47/12,28,'⚙️ ПАРАМЕТРЫ'!$C$48,-'⚙️ ПАРАМЕТРЫ'!$C$46)),0)</f>
        <v>5760.5857628201993</v>
      </c>
      <c r="AE34" s="160">
        <f>IF(29&lt;='⚙️ ПАРАМЕТРЫ'!$C$48,ABS(IPMT('⚙️ ПАРАМЕТРЫ'!$C$47/12,29,'⚙️ ПАРАМЕТРЫ'!$C$48,-'⚙️ ПАРАМЕТРЫ'!$C$46)),0)</f>
        <v>5166.0381935398955</v>
      </c>
      <c r="AF34" s="160">
        <f>IF(30&lt;='⚙️ ПАРАМЕТРЫ'!$C$48,ABS(IPMT('⚙️ ПАРАМЕТРЫ'!$C$47/12,30,'⚙️ ПАРАМЕТРЫ'!$C$48,-'⚙️ ПАРАМЕТРЫ'!$C$46)),0)</f>
        <v>4560.5905854894518</v>
      </c>
      <c r="AG34" s="160">
        <f>IF(31&lt;='⚙️ ПАРАМЕТРЫ'!$C$48,ABS(IPMT('⚙️ ПАРАМЕТРЫ'!$C$47/12,31,'⚙️ ПАРАМЕТРЫ'!$C$48,-'⚙️ ПАРАМЕТРЫ'!$C$46)),0)</f>
        <v>3944.0431046247522</v>
      </c>
      <c r="AH34" s="160">
        <f>IF(32&lt;='⚙️ ПАРАМЕТРЫ'!$C$48,ABS(IPMT('⚙️ ПАРАМЕТРЫ'!$C$47/12,32,'⚙️ ПАРАМЕТРЫ'!$C$48,-'⚙️ ПАРАМЕТРЫ'!$C$46)),0)</f>
        <v>3316.1922532775325</v>
      </c>
      <c r="AI34" s="160">
        <f>IF(33&lt;='⚙️ ПАРАМЕТРЫ'!$C$48,ABS(IPMT('⚙️ ПАРАМЕТРЫ'!$C$47/12,33,'⚙️ ПАРАМЕТРЫ'!$C$48,-'⚙️ ПАРАМЕТРЫ'!$C$46)),0)</f>
        <v>2676.8308029889463</v>
      </c>
      <c r="AJ34" s="160">
        <f>IF(34&lt;='⚙️ ПАРАМЕТРЫ'!$C$48,ABS(IPMT('⚙️ ПАРАМЕТРЫ'!$C$47/12,34,'⚙️ ПАРАМЕТРЫ'!$C$48,-'⚙️ ПАРАМЕТРЫ'!$C$46)),0)</f>
        <v>2025.747726111736</v>
      </c>
      <c r="AK34" s="160">
        <f>IF(35&lt;='⚙️ ПАРАМЕТРЫ'!$C$48,ABS(IPMT('⚙️ ПАРАМЕТРЫ'!$C$47/12,35,'⚙️ ПАРАМЕТРЫ'!$C$48,-'⚙️ ПАРАМЕТРЫ'!$C$46)),0)</f>
        <v>1362.7281261584442</v>
      </c>
      <c r="AL34" s="160">
        <f>IF(36&lt;='⚙️ ПАРАМЕТРЫ'!$C$48,ABS(IPMT('⚙️ ПАРАМЕТРЫ'!$C$47/12,36,'⚙️ ПАРАМЕТРЫ'!$C$48,-'⚙️ ПАРАМЕТРЫ'!$C$46)),0)</f>
        <v>687.55316687267486</v>
      </c>
    </row>
    <row r="35" spans="1:38" x14ac:dyDescent="0.25">
      <c r="A35" s="164"/>
      <c r="B35" s="60" t="s">
        <v>369</v>
      </c>
      <c r="C35" s="183">
        <f>IF('📊 ДОПУЩЕНИЯ'!$C$55="УСН",ROUND(MAX(C12,0)*'📊 ДОПУЩЕНИЯ'!$C$58,0),IF('⚙️ ПАРАМЕТРЫ'!$C$5="ТОО",ROUND(MAX(C33-C34,0)*'📊 ДОПУЩЕНИЯ'!$C$45,0),ROUND(MAX(C33-C34,0)*'📊 ДОПУЩЕНИЯ'!$C$46,0)))</f>
        <v>35280</v>
      </c>
      <c r="D35" s="183">
        <f>IF('📊 ДОПУЩЕНИЯ'!$C$55="УСН",ROUND(MAX(D12,0)*'📊 ДОПУЩЕНИЯ'!$C$58,0),IF('⚙️ ПАРАМЕТРЫ'!$C$5="ТОО",ROUND(MAX(D33-D34,0)*'📊 ДОПУЩЕНИЯ'!$C$45,0),ROUND(MAX(D33-D34,0)*'📊 ДОПУЩЕНИЯ'!$C$46,0)))</f>
        <v>64260</v>
      </c>
      <c r="E35" s="183">
        <f>IF('📊 ДОПУЩЕНИЯ'!$C$55="УСН",ROUND(MAX(E12,0)*'📊 ДОПУЩЕНИЯ'!$C$58,0),IF('⚙️ ПАРАМЕТРЫ'!$C$5="ТОО",ROUND(MAX(E33-E34,0)*'📊 ДОПУЩЕНИЯ'!$C$45,0),ROUND(MAX(E33-E34,0)*'📊 ДОПУЩЕНИЯ'!$C$46,0)))</f>
        <v>97020</v>
      </c>
      <c r="F35" s="183">
        <f>IF('📊 ДОПУЩЕНИЯ'!$C$55="УСН",ROUND(MAX(F12,0)*'📊 ДОПУЩЕНИЯ'!$C$58,0),IF('⚙️ ПАРАМЕТРЫ'!$C$5="ТОО",ROUND(MAX(F33-F34,0)*'📊 ДОПУЩЕНИЯ'!$C$45,0),ROUND(MAX(F33-F34,0)*'📊 ДОПУЩЕНИЯ'!$C$46,0)))</f>
        <v>97020</v>
      </c>
      <c r="G35" s="183">
        <f>IF('📊 ДОПУЩЕНИЯ'!$C$55="УСН",ROUND(MAX(G12,0)*'📊 ДОПУЩЕНИЯ'!$C$58,0),IF('⚙️ ПАРАМЕТРЫ'!$C$5="ТОО",ROUND(MAX(G33-G34,0)*'📊 ДОПУЩЕНИЯ'!$C$45,0),ROUND(MAX(G33-G34,0)*'📊 ДОПУЩЕНИЯ'!$C$46,0)))</f>
        <v>93240</v>
      </c>
      <c r="H35" s="183">
        <f>IF('📊 ДОПУЩЕНИЯ'!$C$55="УСН",ROUND(MAX(H12,0)*'📊 ДОПУЩЕНИЯ'!$C$58,0),IF('⚙️ ПАРАМЕТРЫ'!$C$5="ТОО",ROUND(MAX(H33-H34,0)*'📊 ДОПУЩЕНИЯ'!$C$45,0),ROUND(MAX(H33-H34,0)*'📊 ДОПУЩЕНИЯ'!$C$46,0)))</f>
        <v>88200</v>
      </c>
      <c r="I35" s="183">
        <f>IF('📊 ДОПУЩЕНИЯ'!$C$55="УСН",ROUND(MAX(I12,0)*'📊 ДОПУЩЕНИЯ'!$C$58,0),IF('⚙️ ПАРАМЕТРЫ'!$C$5="ТОО",ROUND(MAX(I33-I34,0)*'📊 ДОПУЩЕНИЯ'!$C$45,0),ROUND(MAX(I33-I34,0)*'📊 ДОПУЩЕНИЯ'!$C$46,0)))</f>
        <v>84420</v>
      </c>
      <c r="J35" s="183">
        <f>IF('📊 ДОПУЩЕНИЯ'!$C$55="УСН",ROUND(MAX(J12,0)*'📊 ДОПУЩЕНИЯ'!$C$58,0),IF('⚙️ ПАРАМЕТРЫ'!$C$5="ТОО",ROUND(MAX(J33-J34,0)*'📊 ДОПУЩЕНИЯ'!$C$45,0),ROUND(MAX(J33-J34,0)*'📊 ДОПУЩЕНИЯ'!$C$46,0)))</f>
        <v>84420</v>
      </c>
      <c r="K35" s="183">
        <f>IF('📊 ДОПУЩЕНИЯ'!$C$55="УСН",ROUND(MAX(K12,0)*'📊 ДОПУЩЕНИЯ'!$C$58,0),IF('⚙️ ПАРАМЕТРЫ'!$C$5="ТОО",ROUND(MAX(K33-K34,0)*'📊 ДОПУЩЕНИЯ'!$C$45,0),ROUND(MAX(K33-K34,0)*'📊 ДОПУЩЕНИЯ'!$C$46,0)))</f>
        <v>105840</v>
      </c>
      <c r="L35" s="183">
        <f>IF('📊 ДОПУЩЕНИЯ'!$C$55="УСН",ROUND(MAX(L12,0)*'📊 ДОПУЩЕНИЯ'!$C$58,0),IF('⚙️ ПАРАМЕТРЫ'!$C$5="ТОО",ROUND(MAX(L33-L34,0)*'📊 ДОПУЩЕНИЯ'!$C$45,0),ROUND(MAX(L33-L34,0)*'📊 ДОПУЩЕНИЯ'!$C$46,0)))</f>
        <v>75600</v>
      </c>
      <c r="M35" s="183">
        <f>IF('📊 ДОПУЩЕНИЯ'!$C$55="УСН",ROUND(MAX(M12,0)*'📊 ДОПУЩЕНИЯ'!$C$58,0),IF('⚙️ ПАРАМЕТРЫ'!$C$5="ТОО",ROUND(MAX(M33-M34,0)*'📊 ДОПУЩЕНИЯ'!$C$45,0),ROUND(MAX(M33-M34,0)*'📊 ДОПУЩЕНИЯ'!$C$46,0)))</f>
        <v>75600</v>
      </c>
      <c r="N35" s="183">
        <f>IF('📊 ДОПУЩЕНИЯ'!$C$55="УСН",ROUND(MAX(N12,0)*'📊 ДОПУЩЕНИЯ'!$C$58,0),IF('⚙️ ПАРАМЕТРЫ'!$C$5="ТОО",ROUND(MAX(N33-N34,0)*'📊 ДОПУЩЕНИЯ'!$C$45,0),ROUND(MAX(N33-N34,0)*'📊 ДОПУЩЕНИЯ'!$C$46,0)))</f>
        <v>79380</v>
      </c>
      <c r="O35" s="183">
        <f>IF('📊 ДОПУЩЕНИЯ'!$C$55="УСН",ROUND(MAX(O12,0)*'📊 ДОПУЩЕНИЯ'!$C$58,0),IF('⚙️ ПАРАМЕТРЫ'!$C$5="ТОО",ROUND(MAX(O33-O34,0)*'📊 ДОПУЩЕНИЯ'!$C$45,0),ROUND(MAX(O33-O34,0)*'📊 ДОПУЩЕНИЯ'!$C$46,0)))</f>
        <v>102060</v>
      </c>
      <c r="P35" s="183">
        <f>IF('📊 ДОПУЩЕНИЯ'!$C$55="УСН",ROUND(MAX(P12,0)*'📊 ДОПУЩЕНИЯ'!$C$58,0),IF('⚙️ ПАРАМЕТРЫ'!$C$5="ТОО",ROUND(MAX(P33-P34,0)*'📊 ДОПУЩЕНИЯ'!$C$45,0),ROUND(MAX(P33-P34,0)*'📊 ДОПУЩЕНИЯ'!$C$46,0)))</f>
        <v>107503</v>
      </c>
      <c r="Q35" s="183">
        <f>IF('📊 ДОПУЩЕНИЯ'!$C$55="УСН",ROUND(MAX(Q12,0)*'📊 ДОПУЩЕНИЯ'!$C$58,0),IF('⚙️ ПАРАМЕТРЫ'!$C$5="ТОО",ROUND(MAX(Q33-Q34,0)*'📊 ДОПУЩЕНИЯ'!$C$45,0),ROUND(MAX(Q33-Q34,0)*'📊 ДОПУЩЕНИЯ'!$C$46,0)))</f>
        <v>111586</v>
      </c>
      <c r="R35" s="183">
        <f>IF('📊 ДОПУЩЕНИЯ'!$C$55="УСН",ROUND(MAX(R12,0)*'📊 ДОПУЩЕНИЯ'!$C$58,0),IF('⚙️ ПАРАМЕТРЫ'!$C$5="ТОО",ROUND(MAX(R33-R34,0)*'📊 ДОПУЩЕНИЯ'!$C$45,0),ROUND(MAX(R33-R34,0)*'📊 ДОПУЩЕНИЯ'!$C$46,0)))</f>
        <v>111586</v>
      </c>
      <c r="S35" s="183">
        <f>IF('📊 ДОПУЩЕНИЯ'!$C$55="УСН",ROUND(MAX(S12,0)*'📊 ДОПУЩЕНИЯ'!$C$58,0),IF('⚙️ ПАРАМЕТРЫ'!$C$5="ТОО",ROUND(MAX(S33-S34,0)*'📊 ДОПУЩЕНИЯ'!$C$45,0),ROUND(MAX(S33-S34,0)*'📊 ДОПУЩЕНИЯ'!$C$46,0)))</f>
        <v>107503</v>
      </c>
      <c r="T35" s="183">
        <f>IF('📊 ДОПУЩЕНИЯ'!$C$55="УСН",ROUND(MAX(T12,0)*'📊 ДОПУЩЕНИЯ'!$C$58,0),IF('⚙️ ПАРАМЕТРЫ'!$C$5="ТОО",ROUND(MAX(T33-T34,0)*'📊 ДОПУЩЕНИЯ'!$C$45,0),ROUND(MAX(T33-T34,0)*'📊 ДОПУЩЕНИЯ'!$C$46,0)))</f>
        <v>102060</v>
      </c>
      <c r="U35" s="183">
        <f>IF('📊 ДОПУЩЕНИЯ'!$C$55="УСН",ROUND(MAX(U12,0)*'📊 ДОПУЩЕНИЯ'!$C$58,0),IF('⚙️ ПАРАМЕТРЫ'!$C$5="ТОО",ROUND(MAX(U33-U34,0)*'📊 ДОПУЩЕНИЯ'!$C$45,0),ROUND(MAX(U33-U34,0)*'📊 ДОПУЩЕНИЯ'!$C$46,0)))</f>
        <v>96617</v>
      </c>
      <c r="V35" s="183">
        <f>IF('📊 ДОПУЩЕНИЯ'!$C$55="УСН",ROUND(MAX(V12,0)*'📊 ДОПУЩЕНИЯ'!$C$58,0),IF('⚙️ ПАРАМЕТРЫ'!$C$5="ТОО",ROUND(MAX(V33-V34,0)*'📊 ДОПУЩЕНИЯ'!$C$45,0),ROUND(MAX(V33-V34,0)*'📊 ДОПУЩЕНИЯ'!$C$46,0)))</f>
        <v>96617</v>
      </c>
      <c r="W35" s="183">
        <f>IF('📊 ДОПУЩЕНИЯ'!$C$55="УСН",ROUND(MAX(W12,0)*'📊 ДОПУЩЕНИЯ'!$C$58,0),IF('⚙️ ПАРАМЕТРЫ'!$C$5="ТОО",ROUND(MAX(W33-W34,0)*'📊 ДОПУЩЕНИЯ'!$C$45,0),ROUND(MAX(W33-W34,0)*'📊 ДОПУЩЕНИЯ'!$C$46,0)))</f>
        <v>122472</v>
      </c>
      <c r="X35" s="183">
        <f>IF('📊 ДОПУЩЕНИЯ'!$C$55="УСН",ROUND(MAX(X12,0)*'📊 ДОПУЩЕНИЯ'!$C$58,0),IF('⚙️ ПАРАМЕТРЫ'!$C$5="ТОО",ROUND(MAX(X33-X34,0)*'📊 ДОПУЩЕНИЯ'!$C$45,0),ROUND(MAX(X33-X34,0)*'📊 ДОПУЩЕНИЯ'!$C$46,0)))</f>
        <v>87091</v>
      </c>
      <c r="Y35" s="183">
        <f>IF('📊 ДОПУЩЕНИЯ'!$C$55="УСН",ROUND(MAX(Y12,0)*'📊 ДОПУЩЕНИЯ'!$C$58,0),IF('⚙️ ПАРАМЕТРЫ'!$C$5="ТОО",ROUND(MAX(Y33-Y34,0)*'📊 ДОПУЩЕНИЯ'!$C$45,0),ROUND(MAX(Y33-Y34,0)*'📊 ДОПУЩЕНИЯ'!$C$46,0)))</f>
        <v>87091</v>
      </c>
      <c r="Z35" s="183">
        <f>IF('📊 ДОПУЩЕНИЯ'!$C$55="УСН",ROUND(MAX(Z12,0)*'📊 ДОПУЩЕНИЯ'!$C$58,0),IF('⚙️ ПАРАМЕТРЫ'!$C$5="ТОО",ROUND(MAX(Z33-Z34,0)*'📊 ДОПУЩЕНИЯ'!$C$45,0),ROUND(MAX(Z33-Z34,0)*'📊 ДОПУЩЕНИЯ'!$C$46,0)))</f>
        <v>91174</v>
      </c>
      <c r="AA35" s="183">
        <f>IF('📊 ДОПУЩЕНИЯ'!$C$55="УСН",ROUND(MAX(AA12,0)*'📊 ДОПУЩЕНИЯ'!$C$58,0),IF('⚙️ ПАРАМЕТРЫ'!$C$5="ТОО",ROUND(MAX(AA33-AA34,0)*'📊 ДОПУЩЕНИЯ'!$C$45,0),ROUND(MAX(AA33-AA34,0)*'📊 ДОПУЩЕНИЯ'!$C$46,0)))</f>
        <v>117576</v>
      </c>
      <c r="AB35" s="183">
        <f>IF('📊 ДОПУЩЕНИЯ'!$C$55="УСН",ROUND(MAX(AB12,0)*'📊 ДОПУЩЕНИЯ'!$C$58,0),IF('⚙️ ПАРАМЕТРЫ'!$C$5="ТОО",ROUND(MAX(AB33-AB34,0)*'📊 ДОПУЩЕНИЯ'!$C$45,0),ROUND(MAX(AB33-AB34,0)*'📊 ДОПУЩЕНИЯ'!$C$46,0)))</f>
        <v>123455</v>
      </c>
      <c r="AC35" s="183">
        <f>IF('📊 ДОПУЩЕНИЯ'!$C$55="УСН",ROUND(MAX(AC12,0)*'📊 ДОПУЩЕНИЯ'!$C$58,0),IF('⚙️ ПАРАМЕТРЫ'!$C$5="ТОО",ROUND(MAX(AC33-AC34,0)*'📊 ДОПУЩЕНИЯ'!$C$45,0),ROUND(MAX(AC33-AC34,0)*'📊 ДОПУЩЕНИЯ'!$C$46,0)))</f>
        <v>129334</v>
      </c>
      <c r="AD35" s="183">
        <f>IF('📊 ДОПУЩЕНИЯ'!$C$55="УСН",ROUND(MAX(AD12,0)*'📊 ДОПУЩЕНИЯ'!$C$58,0),IF('⚙️ ПАРАМЕТРЫ'!$C$5="ТОО",ROUND(MAX(AD33-AD34,0)*'📊 ДОПУЩЕНИЯ'!$C$45,0),ROUND(MAX(AD33-AD34,0)*'📊 ДОПУЩЕНИЯ'!$C$46,0)))</f>
        <v>129334</v>
      </c>
      <c r="AE35" s="183">
        <f>IF('📊 ДОПУЩЕНИЯ'!$C$55="УСН",ROUND(MAX(AE12,0)*'📊 ДОПУЩЕНИЯ'!$C$58,0),IF('⚙️ ПАРАМЕТРЫ'!$C$5="ТОО",ROUND(MAX(AE33-AE34,0)*'📊 ДОПУЩЕНИЯ'!$C$45,0),ROUND(MAX(AE33-AE34,0)*'📊 ДОПУЩЕНИЯ'!$C$46,0)))</f>
        <v>123455</v>
      </c>
      <c r="AF35" s="183">
        <f>IF('📊 ДОПУЩЕНИЯ'!$C$55="УСН",ROUND(MAX(AF12,0)*'📊 ДОПУЩЕНИЯ'!$C$58,0),IF('⚙️ ПАРАМЕТРЫ'!$C$5="ТОО",ROUND(MAX(AF33-AF34,0)*'📊 ДОПУЩЕНИЯ'!$C$45,0),ROUND(MAX(AF33-AF34,0)*'📊 ДОПУЩЕНИЯ'!$C$46,0)))</f>
        <v>117576</v>
      </c>
      <c r="AG35" s="183">
        <f>IF('📊 ДОПУЩЕНИЯ'!$C$55="УСН",ROUND(MAX(AG12,0)*'📊 ДОПУЩЕНИЯ'!$C$58,0),IF('⚙️ ПАРАМЕТРЫ'!$C$5="ТОО",ROUND(MAX(AG33-AG34,0)*'📊 ДОПУЩЕНИЯ'!$C$45,0),ROUND(MAX(AG33-AG34,0)*'📊 ДОПУЩЕНИЯ'!$C$46,0)))</f>
        <v>111697</v>
      </c>
      <c r="AH35" s="183">
        <f>IF('📊 ДОПУЩЕНИЯ'!$C$55="УСН",ROUND(MAX(AH12,0)*'📊 ДОПУЩЕНИЯ'!$C$58,0),IF('⚙️ ПАРАМЕТРЫ'!$C$5="ТОО",ROUND(MAX(AH33-AH34,0)*'📊 ДОПУЩЕНИЯ'!$C$45,0),ROUND(MAX(AH33-AH34,0)*'📊 ДОПУЩЕНИЯ'!$C$46,0)))</f>
        <v>111697</v>
      </c>
      <c r="AI35" s="183">
        <f>IF('📊 ДОПУЩЕНИЯ'!$C$55="УСН",ROUND(MAX(AI12,0)*'📊 ДОПУЩЕНИЯ'!$C$58,0),IF('⚙️ ПАРАМЕТРЫ'!$C$5="ТОО",ROUND(MAX(AI33-AI34,0)*'📊 ДОПУЩЕНИЯ'!$C$45,0),ROUND(MAX(AI33-AI34,0)*'📊 ДОПУЩЕНИЯ'!$C$46,0)))</f>
        <v>141091</v>
      </c>
      <c r="AJ35" s="183">
        <f>IF('📊 ДОПУЩЕНИЯ'!$C$55="УСН",ROUND(MAX(AJ12,0)*'📊 ДОПУЩЕНИЯ'!$C$58,0),IF('⚙️ ПАРАМЕТРЫ'!$C$5="ТОО",ROUND(MAX(AJ33-AJ34,0)*'📊 ДОПУЩЕНИЯ'!$C$45,0),ROUND(MAX(AJ33-AJ34,0)*'📊 ДОПУЩЕНИЯ'!$C$46,0)))</f>
        <v>99940</v>
      </c>
      <c r="AK35" s="183">
        <f>IF('📊 ДОПУЩЕНИЯ'!$C$55="УСН",ROUND(MAX(AK12,0)*'📊 ДОПУЩЕНИЯ'!$C$58,0),IF('⚙️ ПАРАМЕТРЫ'!$C$5="ТОО",ROUND(MAX(AK33-AK34,0)*'📊 ДОПУЩЕНИЯ'!$C$45,0),ROUND(MAX(AK33-AK34,0)*'📊 ДОПУЩЕНИЯ'!$C$46,0)))</f>
        <v>99940</v>
      </c>
      <c r="AL35" s="183">
        <f>IF('📊 ДОПУЩЕНИЯ'!$C$55="УСН",ROUND(MAX(AL12,0)*'📊 ДОПУЩЕНИЯ'!$C$58,0),IF('⚙️ ПАРАМЕТРЫ'!$C$5="ТОО",ROUND(MAX(AL33-AL34,0)*'📊 ДОПУЩЕНИЯ'!$C$45,0),ROUND(MAX(AL33-AL34,0)*'📊 ДОПУЩЕНИЯ'!$C$46,0)))</f>
        <v>105818</v>
      </c>
    </row>
    <row r="36" spans="1:38" x14ac:dyDescent="0.25">
      <c r="A36" s="164"/>
      <c r="B36" s="164" t="s">
        <v>370</v>
      </c>
      <c r="C36" s="175">
        <f>IF('📊 ДОПУЩЕНИЯ'!$C$57="Да",ROUND(MAX(C12-C14,0)*16/116,0),0)</f>
        <v>0</v>
      </c>
      <c r="D36" s="176"/>
      <c r="E36" s="176"/>
      <c r="F36" s="176"/>
      <c r="G36" s="176"/>
      <c r="H36" s="176"/>
      <c r="I36" s="176"/>
      <c r="J36" s="176"/>
      <c r="K36" s="176"/>
      <c r="L36" s="176"/>
      <c r="M36" s="176"/>
      <c r="N36" s="176"/>
      <c r="O36" s="176"/>
      <c r="P36" s="176"/>
      <c r="Q36" s="176"/>
      <c r="R36" s="176"/>
      <c r="S36" s="176"/>
      <c r="T36" s="176"/>
      <c r="U36" s="176"/>
      <c r="V36" s="176"/>
      <c r="W36" s="176"/>
      <c r="X36" s="176"/>
      <c r="Y36" s="176"/>
      <c r="Z36" s="176"/>
      <c r="AA36" s="176"/>
      <c r="AB36" s="176"/>
      <c r="AC36" s="176"/>
      <c r="AD36" s="176"/>
      <c r="AE36" s="176"/>
      <c r="AF36" s="176"/>
      <c r="AG36" s="176"/>
      <c r="AH36" s="176"/>
      <c r="AI36" s="176"/>
      <c r="AJ36" s="176"/>
      <c r="AK36" s="176"/>
      <c r="AL36" s="176"/>
    </row>
    <row r="37" spans="1:38" x14ac:dyDescent="0.25">
      <c r="A37" s="164"/>
      <c r="B37" s="60" t="s">
        <v>243</v>
      </c>
      <c r="C37" s="168">
        <f>IF('⚙️ ПАРАМЕТРЫ'!$C$5="ТОО",ROUND(MAX(C33-C34-C35,0)*'📊 ДОПУЩЕНИЯ'!$C$48,0),0)</f>
        <v>0</v>
      </c>
      <c r="D37" s="168">
        <f>IF('⚙️ ПАРАМЕТРЫ'!$C$5="ТОО",ROUND(MAX(D33-D34-D35,0)*'📊 ДОПУЩЕНИЯ'!$C$48,0),0)</f>
        <v>0</v>
      </c>
      <c r="E37" s="168">
        <f>IF('⚙️ ПАРАМЕТРЫ'!$C$5="ТОО",ROUND(MAX(E33-E34-E35,0)*'📊 ДОПУЩЕНИЯ'!$C$48,0),0)</f>
        <v>0</v>
      </c>
      <c r="F37" s="168">
        <f>IF('⚙️ ПАРАМЕТРЫ'!$C$5="ТОО",ROUND(MAX(F33-F34-F35,0)*'📊 ДОПУЩЕНИЯ'!$C$48,0),0)</f>
        <v>0</v>
      </c>
      <c r="G37" s="168">
        <f>IF('⚙️ ПАРАМЕТРЫ'!$C$5="ТОО",ROUND(MAX(G33-G34-G35,0)*'📊 ДОПУЩЕНИЯ'!$C$48,0),0)</f>
        <v>0</v>
      </c>
      <c r="H37" s="168">
        <f>IF('⚙️ ПАРАМЕТРЫ'!$C$5="ТОО",ROUND(MAX(H33-H34-H35,0)*'📊 ДОПУЩЕНИЯ'!$C$48,0),0)</f>
        <v>0</v>
      </c>
      <c r="I37" s="168">
        <f>IF('⚙️ ПАРАМЕТРЫ'!$C$5="ТОО",ROUND(MAX(I33-I34-I35,0)*'📊 ДОПУЩЕНИЯ'!$C$48,0),0)</f>
        <v>0</v>
      </c>
      <c r="J37" s="168">
        <f>IF('⚙️ ПАРАМЕТРЫ'!$C$5="ТОО",ROUND(MAX(J33-J34-J35,0)*'📊 ДОПУЩЕНИЯ'!$C$48,0),0)</f>
        <v>0</v>
      </c>
      <c r="K37" s="168">
        <f>IF('⚙️ ПАРАМЕТРЫ'!$C$5="ТОО",ROUND(MAX(K33-K34-K35,0)*'📊 ДОПУЩЕНИЯ'!$C$48,0),0)</f>
        <v>0</v>
      </c>
      <c r="L37" s="168">
        <f>IF('⚙️ ПАРАМЕТРЫ'!$C$5="ТОО",ROUND(MAX(L33-L34-L35,0)*'📊 ДОПУЩЕНИЯ'!$C$48,0),0)</f>
        <v>0</v>
      </c>
      <c r="M37" s="168">
        <f>IF('⚙️ ПАРАМЕТРЫ'!$C$5="ТОО",ROUND(MAX(M33-M34-M35,0)*'📊 ДОПУЩЕНИЯ'!$C$48,0),0)</f>
        <v>0</v>
      </c>
      <c r="N37" s="168">
        <f>IF('⚙️ ПАРАМЕТРЫ'!$C$5="ТОО",ROUND(MAX(N33-N34-N35,0)*'📊 ДОПУЩЕНИЯ'!$C$48,0),0)</f>
        <v>0</v>
      </c>
      <c r="O37" s="168">
        <f>IF('⚙️ ПАРАМЕТРЫ'!$C$5="ТОО",ROUND(MAX(O33-O34-O35,0)*'📊 ДОПУЩЕНИЯ'!$C$48,0),0)</f>
        <v>0</v>
      </c>
      <c r="P37" s="168">
        <f>IF('⚙️ ПАРАМЕТРЫ'!$C$5="ТОО",ROUND(MAX(P33-P34-P35,0)*'📊 ДОПУЩЕНИЯ'!$C$48,0),0)</f>
        <v>0</v>
      </c>
      <c r="Q37" s="168">
        <f>IF('⚙️ ПАРАМЕТРЫ'!$C$5="ТОО",ROUND(MAX(Q33-Q34-Q35,0)*'📊 ДОПУЩЕНИЯ'!$C$48,0),0)</f>
        <v>0</v>
      </c>
      <c r="R37" s="168">
        <f>IF('⚙️ ПАРАМЕТРЫ'!$C$5="ТОО",ROUND(MAX(R33-R34-R35,0)*'📊 ДОПУЩЕНИЯ'!$C$48,0),0)</f>
        <v>0</v>
      </c>
      <c r="S37" s="168">
        <f>IF('⚙️ ПАРАМЕТРЫ'!$C$5="ТОО",ROUND(MAX(S33-S34-S35,0)*'📊 ДОПУЩЕНИЯ'!$C$48,0),0)</f>
        <v>0</v>
      </c>
      <c r="T37" s="168">
        <f>IF('⚙️ ПАРАМЕТРЫ'!$C$5="ТОО",ROUND(MAX(T33-T34-T35,0)*'📊 ДОПУЩЕНИЯ'!$C$48,0),0)</f>
        <v>0</v>
      </c>
      <c r="U37" s="168">
        <f>IF('⚙️ ПАРАМЕТРЫ'!$C$5="ТОО",ROUND(MAX(U33-U34-U35,0)*'📊 ДОПУЩЕНИЯ'!$C$48,0),0)</f>
        <v>0</v>
      </c>
      <c r="V37" s="168">
        <f>IF('⚙️ ПАРАМЕТРЫ'!$C$5="ТОО",ROUND(MAX(V33-V34-V35,0)*'📊 ДОПУЩЕНИЯ'!$C$48,0),0)</f>
        <v>0</v>
      </c>
      <c r="W37" s="168">
        <f>IF('⚙️ ПАРАМЕТРЫ'!$C$5="ТОО",ROUND(MAX(W33-W34-W35,0)*'📊 ДОПУЩЕНИЯ'!$C$48,0),0)</f>
        <v>0</v>
      </c>
      <c r="X37" s="168">
        <f>IF('⚙️ ПАРАМЕТРЫ'!$C$5="ТОО",ROUND(MAX(X33-X34-X35,0)*'📊 ДОПУЩЕНИЯ'!$C$48,0),0)</f>
        <v>0</v>
      </c>
      <c r="Y37" s="168">
        <f>IF('⚙️ ПАРАМЕТРЫ'!$C$5="ТОО",ROUND(MAX(Y33-Y34-Y35,0)*'📊 ДОПУЩЕНИЯ'!$C$48,0),0)</f>
        <v>0</v>
      </c>
      <c r="Z37" s="168">
        <f>IF('⚙️ ПАРАМЕТРЫ'!$C$5="ТОО",ROUND(MAX(Z33-Z34-Z35,0)*'📊 ДОПУЩЕНИЯ'!$C$48,0),0)</f>
        <v>0</v>
      </c>
      <c r="AA37" s="168">
        <f>IF('⚙️ ПАРАМЕТРЫ'!$C$5="ТОО",ROUND(MAX(AA33-AA34-AA35,0)*'📊 ДОПУЩЕНИЯ'!$C$48,0),0)</f>
        <v>0</v>
      </c>
      <c r="AB37" s="168">
        <f>IF('⚙️ ПАРАМЕТРЫ'!$C$5="ТОО",ROUND(MAX(AB33-AB34-AB35,0)*'📊 ДОПУЩЕНИЯ'!$C$48,0),0)</f>
        <v>0</v>
      </c>
      <c r="AC37" s="168">
        <f>IF('⚙️ ПАРАМЕТРЫ'!$C$5="ТОО",ROUND(MAX(AC33-AC34-AC35,0)*'📊 ДОПУЩЕНИЯ'!$C$48,0),0)</f>
        <v>0</v>
      </c>
      <c r="AD37" s="168">
        <f>IF('⚙️ ПАРАМЕТРЫ'!$C$5="ТОО",ROUND(MAX(AD33-AD34-AD35,0)*'📊 ДОПУЩЕНИЯ'!$C$48,0),0)</f>
        <v>0</v>
      </c>
      <c r="AE37" s="168">
        <f>IF('⚙️ ПАРАМЕТРЫ'!$C$5="ТОО",ROUND(MAX(AE33-AE34-AE35,0)*'📊 ДОПУЩЕНИЯ'!$C$48,0),0)</f>
        <v>0</v>
      </c>
      <c r="AF37" s="168">
        <f>IF('⚙️ ПАРАМЕТРЫ'!$C$5="ТОО",ROUND(MAX(AF33-AF34-AF35,0)*'📊 ДОПУЩЕНИЯ'!$C$48,0),0)</f>
        <v>0</v>
      </c>
      <c r="AG37" s="168">
        <f>IF('⚙️ ПАРАМЕТРЫ'!$C$5="ТОО",ROUND(MAX(AG33-AG34-AG35,0)*'📊 ДОПУЩЕНИЯ'!$C$48,0),0)</f>
        <v>0</v>
      </c>
      <c r="AH37" s="168">
        <f>IF('⚙️ ПАРАМЕТРЫ'!$C$5="ТОО",ROUND(MAX(AH33-AH34-AH35,0)*'📊 ДОПУЩЕНИЯ'!$C$48,0),0)</f>
        <v>0</v>
      </c>
      <c r="AI37" s="168">
        <f>IF('⚙️ ПАРАМЕТРЫ'!$C$5="ТОО",ROUND(MAX(AI33-AI34-AI35,0)*'📊 ДОПУЩЕНИЯ'!$C$48,0),0)</f>
        <v>0</v>
      </c>
      <c r="AJ37" s="168">
        <f>IF('⚙️ ПАРАМЕТРЫ'!$C$5="ТОО",ROUND(MAX(AJ33-AJ34-AJ35,0)*'📊 ДОПУЩЕНИЯ'!$C$48,0),0)</f>
        <v>0</v>
      </c>
      <c r="AK37" s="168">
        <f>IF('⚙️ ПАРАМЕТРЫ'!$C$5="ТОО",ROUND(MAX(AK33-AK34-AK35,0)*'📊 ДОПУЩЕНИЯ'!$C$48,0),0)</f>
        <v>0</v>
      </c>
      <c r="AL37" s="168">
        <f>IF('⚙️ ПАРАМЕТРЫ'!$C$5="ТОО",ROUND(MAX(AL33-AL34-AL35,0)*'📊 ДОПУЩЕНИЯ'!$C$48,0),0)</f>
        <v>0</v>
      </c>
    </row>
    <row r="38" spans="1:38" s="72" customFormat="1" ht="12.75" customHeight="1" x14ac:dyDescent="0.25">
      <c r="A38" s="184"/>
      <c r="B38" s="185" t="s">
        <v>305</v>
      </c>
      <c r="C38" s="186">
        <f t="shared" ref="C38:AL38" si="5">C33-C34-C35-C37</f>
        <v>64149.666666666672</v>
      </c>
      <c r="D38" s="186">
        <f t="shared" si="5"/>
        <v>634453.71386382089</v>
      </c>
      <c r="E38" s="186">
        <f t="shared" si="5"/>
        <v>1279104.4352595897</v>
      </c>
      <c r="F38" s="186">
        <f t="shared" si="5"/>
        <v>1279481.9532142808</v>
      </c>
      <c r="G38" s="186">
        <f t="shared" si="5"/>
        <v>1205526.3923314747</v>
      </c>
      <c r="H38" s="186">
        <f t="shared" si="5"/>
        <v>1106797.8794991502</v>
      </c>
      <c r="I38" s="186">
        <f t="shared" si="5"/>
        <v>1032856.5439315666</v>
      </c>
      <c r="J38" s="186">
        <f t="shared" si="5"/>
        <v>1033262.5172119108</v>
      </c>
      <c r="K38" s="186">
        <f t="shared" si="5"/>
        <v>1454935.9333357278</v>
      </c>
      <c r="L38" s="186">
        <f t="shared" si="5"/>
        <v>860636.9287551482</v>
      </c>
      <c r="M38" s="186">
        <f t="shared" si="5"/>
        <v>861065.64242392452</v>
      </c>
      <c r="N38" s="186">
        <f t="shared" si="5"/>
        <v>935842.21584329521</v>
      </c>
      <c r="O38" s="186">
        <f t="shared" si="5"/>
        <v>1334806.7931086875</v>
      </c>
      <c r="P38" s="186">
        <f t="shared" si="5"/>
        <v>1442309.5209572788</v>
      </c>
      <c r="Q38" s="186">
        <f t="shared" si="5"/>
        <v>1523056.5488164276</v>
      </c>
      <c r="R38" s="186">
        <f t="shared" si="5"/>
        <v>1523526.0288529941</v>
      </c>
      <c r="S38" s="186">
        <f t="shared" si="5"/>
        <v>1443718.1160235645</v>
      </c>
      <c r="T38" s="186">
        <f t="shared" si="5"/>
        <v>1337154.968125595</v>
      </c>
      <c r="U38" s="186">
        <f t="shared" si="5"/>
        <v>1230600.7458494965</v>
      </c>
      <c r="V38" s="186">
        <f t="shared" si="5"/>
        <v>1231105.6128316692</v>
      </c>
      <c r="W38" s="186">
        <f t="shared" si="5"/>
        <v>1740105.7357085152</v>
      </c>
      <c r="X38" s="186">
        <f t="shared" si="5"/>
        <v>1044807.2841714364</v>
      </c>
      <c r="Y38" s="186">
        <f t="shared" si="5"/>
        <v>1045340.431022845</v>
      </c>
      <c r="Z38" s="186">
        <f t="shared" si="5"/>
        <v>1126169.3522331957</v>
      </c>
      <c r="AA38" s="186">
        <f t="shared" si="5"/>
        <v>1594566.2269990696</v>
      </c>
      <c r="AB38" s="186">
        <f t="shared" si="5"/>
        <v>1710745.2378023178</v>
      </c>
      <c r="AC38" s="186">
        <f t="shared" si="5"/>
        <v>1826934.5704702924</v>
      </c>
      <c r="AD38" s="186">
        <f t="shared" si="5"/>
        <v>1827518.4142371798</v>
      </c>
      <c r="AE38" s="186">
        <f t="shared" si="5"/>
        <v>1712496.9618064601</v>
      </c>
      <c r="AF38" s="186">
        <f t="shared" si="5"/>
        <v>1597486.4094145105</v>
      </c>
      <c r="AG38" s="186">
        <f t="shared" si="5"/>
        <v>1482486.9568953752</v>
      </c>
      <c r="AH38" s="186">
        <f t="shared" si="5"/>
        <v>1483114.8077467224</v>
      </c>
      <c r="AI38" s="186">
        <f t="shared" si="5"/>
        <v>2061836.1691970113</v>
      </c>
      <c r="AJ38" s="186">
        <f t="shared" si="5"/>
        <v>1253171.2522738883</v>
      </c>
      <c r="AK38" s="186">
        <f t="shared" si="5"/>
        <v>1253834.2718738415</v>
      </c>
      <c r="AL38" s="186">
        <f t="shared" si="5"/>
        <v>1370127.4468331274</v>
      </c>
    </row>
    <row r="39" spans="1:38" x14ac:dyDescent="0.25">
      <c r="A39" s="164"/>
      <c r="B39" s="60" t="s">
        <v>371</v>
      </c>
      <c r="C39" s="187">
        <f t="shared" ref="C39:AL39" si="6">IFERROR(C38/C12,0)</f>
        <v>5.4549036281179145E-2</v>
      </c>
      <c r="D39" s="187">
        <f t="shared" si="6"/>
        <v>0.29619687855453825</v>
      </c>
      <c r="E39" s="187">
        <f t="shared" si="6"/>
        <v>0.39551775982052867</v>
      </c>
      <c r="F39" s="187">
        <f t="shared" si="6"/>
        <v>0.39563449388196686</v>
      </c>
      <c r="G39" s="187">
        <f t="shared" si="6"/>
        <v>0.38787850461115658</v>
      </c>
      <c r="H39" s="187">
        <f t="shared" si="6"/>
        <v>0.37646186377522117</v>
      </c>
      <c r="I39" s="187">
        <f t="shared" si="6"/>
        <v>0.36704212648598672</v>
      </c>
      <c r="J39" s="187">
        <f t="shared" si="6"/>
        <v>0.36718639559769395</v>
      </c>
      <c r="K39" s="187">
        <f t="shared" si="6"/>
        <v>0.41239680650105665</v>
      </c>
      <c r="L39" s="187">
        <f t="shared" si="6"/>
        <v>0.34152259077585245</v>
      </c>
      <c r="M39" s="187">
        <f t="shared" si="6"/>
        <v>0.3416927152475891</v>
      </c>
      <c r="N39" s="187">
        <f t="shared" si="6"/>
        <v>0.35368186539807073</v>
      </c>
      <c r="O39" s="187">
        <f t="shared" si="6"/>
        <v>0.39235943360043724</v>
      </c>
      <c r="P39" s="187">
        <f t="shared" si="6"/>
        <v>0.40249300140571037</v>
      </c>
      <c r="Q39" s="187">
        <f t="shared" si="6"/>
        <v>0.40947663914064925</v>
      </c>
      <c r="R39" s="187">
        <f t="shared" si="6"/>
        <v>0.40960285973808291</v>
      </c>
      <c r="S39" s="187">
        <f t="shared" si="6"/>
        <v>0.40288608600215559</v>
      </c>
      <c r="T39" s="187">
        <f t="shared" si="6"/>
        <v>0.39304966729147411</v>
      </c>
      <c r="U39" s="187">
        <f t="shared" si="6"/>
        <v>0.38210769116225018</v>
      </c>
      <c r="V39" s="187">
        <f t="shared" si="6"/>
        <v>0.38226445488724603</v>
      </c>
      <c r="W39" s="187">
        <f t="shared" si="6"/>
        <v>0.42624577104362998</v>
      </c>
      <c r="X39" s="187">
        <f t="shared" si="6"/>
        <v>0.35990109821822519</v>
      </c>
      <c r="Y39" s="187">
        <f t="shared" si="6"/>
        <v>0.36008474944294427</v>
      </c>
      <c r="Z39" s="187">
        <f t="shared" si="6"/>
        <v>0.37055771151951739</v>
      </c>
      <c r="AA39" s="187">
        <f t="shared" si="6"/>
        <v>0.40686013140413085</v>
      </c>
      <c r="AB39" s="187">
        <f t="shared" si="6"/>
        <v>0.41571779415680504</v>
      </c>
      <c r="AC39" s="187">
        <f t="shared" si="6"/>
        <v>0.42377260908309033</v>
      </c>
      <c r="AD39" s="187">
        <f t="shared" si="6"/>
        <v>0.42390803648174485</v>
      </c>
      <c r="AE39" s="187">
        <f t="shared" si="6"/>
        <v>0.41614346995170542</v>
      </c>
      <c r="AF39" s="187">
        <f t="shared" si="6"/>
        <v>0.40760522795838705</v>
      </c>
      <c r="AG39" s="187">
        <f t="shared" si="6"/>
        <v>0.39817120489019647</v>
      </c>
      <c r="AH39" s="187">
        <f t="shared" si="6"/>
        <v>0.39833983512927512</v>
      </c>
      <c r="AI39" s="187">
        <f t="shared" si="6"/>
        <v>0.43840498256383348</v>
      </c>
      <c r="AJ39" s="187">
        <f t="shared" si="6"/>
        <v>0.3761785875490461</v>
      </c>
      <c r="AK39" s="187">
        <f t="shared" si="6"/>
        <v>0.37637761364079148</v>
      </c>
      <c r="AL39" s="187">
        <f t="shared" si="6"/>
        <v>0.38843739278796335</v>
      </c>
    </row>
    <row r="41" spans="1:38" ht="15" customHeight="1" x14ac:dyDescent="0.25">
      <c r="B41" s="3" t="s">
        <v>372</v>
      </c>
      <c r="C41" s="3"/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  <c r="AA41" s="3"/>
      <c r="AB41" s="3"/>
      <c r="AC41" s="3"/>
      <c r="AD41" s="3"/>
      <c r="AE41" s="3"/>
      <c r="AF41" s="3"/>
      <c r="AG41" s="3"/>
      <c r="AH41" s="3"/>
      <c r="AI41" s="3"/>
      <c r="AJ41" s="3"/>
      <c r="AK41" s="3"/>
      <c r="AL41" s="3"/>
    </row>
  </sheetData>
  <mergeCells count="6">
    <mergeCell ref="B41:AL41"/>
    <mergeCell ref="A1:AL1"/>
    <mergeCell ref="A2:AL2"/>
    <mergeCell ref="B7:AL7"/>
    <mergeCell ref="B13:AL13"/>
    <mergeCell ref="B17:AL17"/>
  </mergeCells>
  <conditionalFormatting sqref="C38:AL38">
    <cfRule type="colorScale" priority="2">
      <colorScale>
        <cfvo type="min"/>
        <cfvo type="num" val="0"/>
        <cfvo type="max"/>
        <color rgb="FFFF6B6B"/>
        <color rgb="FFFFFFFF"/>
        <color rgb="FF00D6A0"/>
      </colorScale>
    </cfRule>
  </conditionalFormatting>
  <conditionalFormatting sqref="C39:AL39">
    <cfRule type="colorScale" priority="3">
      <colorScale>
        <cfvo type="min"/>
        <cfvo type="num" val="0"/>
        <cfvo type="max"/>
        <color rgb="FFFF6B6B"/>
        <color rgb="FFFFFFFF"/>
        <color rgb="FF00D6A0"/>
      </colorScale>
    </cfRule>
  </conditionalFormatting>
  <pageMargins left="0.75" right="0.75" top="1" bottom="1" header="0.511811023622047" footer="0.511811023622047"/>
  <pageSetup paperSize="9" orientation="portrait" horizontalDpi="300" verticalDpi="30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tabColor rgb="FF0D47A1"/>
  </sheetPr>
  <dimension ref="A1:AL33"/>
  <sheetViews>
    <sheetView topLeftCell="A7" zoomScaleNormal="100" workbookViewId="0">
      <selection activeCell="C11" sqref="C11"/>
    </sheetView>
  </sheetViews>
  <sheetFormatPr defaultColWidth="8.6640625" defaultRowHeight="12" x14ac:dyDescent="0.25"/>
  <cols>
    <col min="1" max="1" width="3" style="32" customWidth="1"/>
    <col min="2" max="2" width="35.88671875" style="32" customWidth="1"/>
    <col min="3" max="39" width="13" style="32" customWidth="1"/>
    <col min="40" max="16384" width="8.6640625" style="32"/>
  </cols>
  <sheetData>
    <row r="1" spans="1:38" ht="27.75" customHeight="1" x14ac:dyDescent="0.25">
      <c r="A1" s="320" t="s">
        <v>373</v>
      </c>
      <c r="B1" s="320"/>
      <c r="C1" s="320"/>
      <c r="D1" s="320"/>
      <c r="E1" s="320"/>
      <c r="F1" s="320"/>
      <c r="G1" s="320"/>
      <c r="H1" s="320"/>
      <c r="I1" s="320"/>
      <c r="J1" s="320"/>
      <c r="K1" s="320"/>
      <c r="L1" s="320"/>
      <c r="M1" s="320"/>
      <c r="N1" s="320"/>
      <c r="O1" s="320"/>
      <c r="P1" s="320"/>
      <c r="Q1" s="320"/>
      <c r="R1" s="320"/>
      <c r="S1" s="320"/>
      <c r="T1" s="320"/>
      <c r="U1" s="320"/>
      <c r="V1" s="320"/>
      <c r="W1" s="320"/>
      <c r="X1" s="320"/>
      <c r="Y1" s="320"/>
      <c r="Z1" s="320"/>
      <c r="AA1" s="320"/>
      <c r="AB1" s="320"/>
      <c r="AC1" s="320"/>
      <c r="AD1" s="320"/>
      <c r="AE1" s="320"/>
      <c r="AF1" s="320"/>
      <c r="AG1" s="320"/>
      <c r="AH1" s="320"/>
      <c r="AI1" s="320"/>
      <c r="AJ1" s="320"/>
      <c r="AK1" s="320"/>
      <c r="AL1" s="320"/>
    </row>
    <row r="2" spans="1:38" ht="15" customHeight="1" x14ac:dyDescent="0.25">
      <c r="A2" s="301" t="s">
        <v>374</v>
      </c>
      <c r="B2" s="301"/>
      <c r="C2" s="301"/>
      <c r="D2" s="301"/>
      <c r="E2" s="301"/>
      <c r="F2" s="301"/>
      <c r="G2" s="301"/>
      <c r="H2" s="301"/>
      <c r="I2" s="301"/>
      <c r="J2" s="301"/>
      <c r="K2" s="301"/>
      <c r="L2" s="301"/>
      <c r="M2" s="301"/>
      <c r="N2" s="301"/>
      <c r="O2" s="301"/>
      <c r="P2" s="301"/>
      <c r="Q2" s="301"/>
      <c r="R2" s="301"/>
      <c r="S2" s="301"/>
      <c r="T2" s="301"/>
      <c r="U2" s="301"/>
      <c r="V2" s="301"/>
      <c r="W2" s="301"/>
      <c r="X2" s="301"/>
      <c r="Y2" s="301"/>
      <c r="Z2" s="301"/>
      <c r="AA2" s="301"/>
      <c r="AB2" s="301"/>
      <c r="AC2" s="301"/>
      <c r="AD2" s="301"/>
      <c r="AE2" s="301"/>
      <c r="AF2" s="301"/>
      <c r="AG2" s="301"/>
      <c r="AH2" s="301"/>
      <c r="AI2" s="301"/>
      <c r="AJ2" s="301"/>
      <c r="AK2" s="301"/>
      <c r="AL2" s="301"/>
    </row>
    <row r="4" spans="1:38" s="72" customFormat="1" ht="12.75" customHeight="1" x14ac:dyDescent="0.25">
      <c r="A4" s="188"/>
      <c r="B4" s="188" t="s">
        <v>375</v>
      </c>
      <c r="C4" s="47" t="s">
        <v>188</v>
      </c>
      <c r="D4" s="47" t="s">
        <v>189</v>
      </c>
      <c r="E4" s="47" t="s">
        <v>190</v>
      </c>
      <c r="F4" s="47" t="s">
        <v>191</v>
      </c>
      <c r="G4" s="47" t="s">
        <v>192</v>
      </c>
      <c r="H4" s="47" t="s">
        <v>193</v>
      </c>
      <c r="I4" s="47" t="s">
        <v>194</v>
      </c>
      <c r="J4" s="47" t="s">
        <v>195</v>
      </c>
      <c r="K4" s="47" t="s">
        <v>196</v>
      </c>
      <c r="L4" s="47" t="s">
        <v>197</v>
      </c>
      <c r="M4" s="47" t="s">
        <v>198</v>
      </c>
      <c r="N4" s="47" t="s">
        <v>199</v>
      </c>
      <c r="O4" s="47" t="s">
        <v>320</v>
      </c>
      <c r="P4" s="47" t="s">
        <v>321</v>
      </c>
      <c r="Q4" s="47" t="s">
        <v>322</v>
      </c>
      <c r="R4" s="47" t="s">
        <v>323</v>
      </c>
      <c r="S4" s="47" t="s">
        <v>324</v>
      </c>
      <c r="T4" s="47" t="s">
        <v>325</v>
      </c>
      <c r="U4" s="47" t="s">
        <v>326</v>
      </c>
      <c r="V4" s="47" t="s">
        <v>327</v>
      </c>
      <c r="W4" s="47" t="s">
        <v>328</v>
      </c>
      <c r="X4" s="47" t="s">
        <v>329</v>
      </c>
      <c r="Y4" s="47" t="s">
        <v>330</v>
      </c>
      <c r="Z4" s="47" t="s">
        <v>331</v>
      </c>
      <c r="AA4" s="47" t="s">
        <v>332</v>
      </c>
      <c r="AB4" s="47" t="s">
        <v>333</v>
      </c>
      <c r="AC4" s="47" t="s">
        <v>334</v>
      </c>
      <c r="AD4" s="47" t="s">
        <v>335</v>
      </c>
      <c r="AE4" s="47" t="s">
        <v>336</v>
      </c>
      <c r="AF4" s="47" t="s">
        <v>337</v>
      </c>
      <c r="AG4" s="47" t="s">
        <v>338</v>
      </c>
      <c r="AH4" s="47" t="s">
        <v>339</v>
      </c>
      <c r="AI4" s="47" t="s">
        <v>340</v>
      </c>
      <c r="AJ4" s="47" t="s">
        <v>341</v>
      </c>
      <c r="AK4" s="47" t="s">
        <v>342</v>
      </c>
      <c r="AL4" s="47" t="s">
        <v>343</v>
      </c>
    </row>
    <row r="5" spans="1:38" s="72" customFormat="1" ht="12.75" customHeight="1" x14ac:dyDescent="0.25">
      <c r="A5" s="46"/>
      <c r="B5" s="2" t="s">
        <v>376</v>
      </c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  <c r="AA5" s="2"/>
      <c r="AB5" s="2"/>
      <c r="AC5" s="2"/>
      <c r="AD5" s="2"/>
      <c r="AE5" s="2"/>
      <c r="AF5" s="2"/>
      <c r="AG5" s="2"/>
      <c r="AH5" s="2"/>
      <c r="AI5" s="2"/>
      <c r="AJ5" s="2"/>
      <c r="AK5" s="2"/>
      <c r="AL5" s="2"/>
    </row>
    <row r="6" spans="1:38" ht="12.75" customHeight="1" x14ac:dyDescent="0.25">
      <c r="A6" s="189"/>
      <c r="B6" s="189">
        <f>-'⚙️ ПАРАМЕТРЫ'!C37</f>
        <v>-1500000</v>
      </c>
    </row>
    <row r="7" spans="1:38" ht="12.75" customHeight="1" x14ac:dyDescent="0.25">
      <c r="A7" s="189"/>
      <c r="B7" s="189">
        <f>-'⚙️ ПАРАМЕТРЫ'!C23*'⚙️ ПАРАМЕТРЫ'!C38</f>
        <v>-140000</v>
      </c>
    </row>
    <row r="8" spans="1:38" ht="12.75" customHeight="1" x14ac:dyDescent="0.25">
      <c r="A8" s="189"/>
      <c r="B8" s="189">
        <f>-'⚙️ ПАРАМЕТРЫ'!C39</f>
        <v>-1000000</v>
      </c>
    </row>
    <row r="9" spans="1:38" ht="12.75" customHeight="1" x14ac:dyDescent="0.25">
      <c r="A9" s="190"/>
      <c r="B9" s="190">
        <f>B6+B7+B8</f>
        <v>-2640000</v>
      </c>
    </row>
    <row r="10" spans="1:38" s="72" customFormat="1" ht="12.75" customHeight="1" x14ac:dyDescent="0.25">
      <c r="A10" s="46"/>
      <c r="B10" s="2" t="s">
        <v>377</v>
      </c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  <c r="AA10" s="2"/>
      <c r="AB10" s="2"/>
      <c r="AC10" s="2"/>
      <c r="AD10" s="2"/>
      <c r="AE10" s="2"/>
      <c r="AF10" s="2"/>
      <c r="AG10" s="2"/>
      <c r="AH10" s="2"/>
      <c r="AI10" s="2"/>
      <c r="AJ10" s="2"/>
      <c r="AK10" s="2"/>
      <c r="AL10" s="2"/>
    </row>
    <row r="11" spans="1:38" ht="15.75" customHeight="1" x14ac:dyDescent="0.25">
      <c r="A11" s="191"/>
      <c r="B11" s="191" t="s">
        <v>378</v>
      </c>
      <c r="C11" s="192">
        <f>'⚙️ ПАРАМЕТРЫ'!C46</f>
        <v>1000000</v>
      </c>
      <c r="D11" s="305" t="s">
        <v>379</v>
      </c>
      <c r="E11" s="305"/>
      <c r="F11" s="305"/>
      <c r="G11" s="305"/>
      <c r="H11" s="305"/>
      <c r="I11" s="305"/>
      <c r="J11" s="305"/>
      <c r="K11" s="305"/>
      <c r="L11" s="305"/>
      <c r="M11" s="305"/>
      <c r="N11" s="305"/>
      <c r="O11" s="305"/>
      <c r="P11" s="305"/>
      <c r="Q11" s="305"/>
      <c r="R11" s="305"/>
      <c r="S11" s="305"/>
      <c r="T11" s="305"/>
      <c r="U11" s="305"/>
      <c r="V11" s="305"/>
      <c r="W11" s="305"/>
      <c r="X11" s="305"/>
      <c r="Y11" s="305"/>
      <c r="Z11" s="305"/>
      <c r="AA11" s="305"/>
      <c r="AB11" s="305"/>
      <c r="AC11" s="305"/>
      <c r="AD11" s="305"/>
      <c r="AE11" s="305"/>
      <c r="AF11" s="305"/>
      <c r="AG11" s="305"/>
      <c r="AH11" s="305"/>
      <c r="AI11" s="305"/>
      <c r="AJ11" s="305"/>
      <c r="AK11" s="305"/>
      <c r="AL11" s="305"/>
    </row>
    <row r="12" spans="1:38" ht="15.75" customHeight="1" x14ac:dyDescent="0.25">
      <c r="A12" s="191"/>
      <c r="B12" s="191" t="s">
        <v>380</v>
      </c>
      <c r="C12" s="160">
        <f>IF(1&lt;='⚙️ ПАРАМЕТРЫ'!$C$48,-ABS(PPMT('⚙️ ПАРАМЕТРЫ'!$C$47/12,1,'⚙️ ПАРАМЕТРЫ'!$C$48,-'⚙️ ПАРАМЕТРЫ'!$C$46)),0)</f>
        <v>-19857.11984477616</v>
      </c>
      <c r="D12" s="160">
        <f>IF(2&lt;='⚙️ ПАРАМЕТРЫ'!$C$48,-ABS(PPMT('⚙️ ПАРАМЕТРЫ'!$C$47/12,2,'⚙️ ПАРАМЕТРЫ'!$C$48,-'⚙️ ПАРАМЕТРЫ'!$C$46)),0)</f>
        <v>-20221.167041930388</v>
      </c>
      <c r="E12" s="160">
        <f>IF(3&lt;='⚙️ ПАРАМЕТРЫ'!$C$48,-ABS(PPMT('⚙️ ПАРАМЕТРЫ'!$C$47/12,3,'⚙️ ПАРАМЕТРЫ'!$C$48,-'⚙️ ПАРАМЕТРЫ'!$C$46)),0)</f>
        <v>-20591.888437699112</v>
      </c>
      <c r="F12" s="160">
        <f>IF(4&lt;='⚙️ ПАРАМЕТРЫ'!$C$48,-ABS(PPMT('⚙️ ПАРАМЕТРЫ'!$C$47/12,4,'⚙️ ПАРАМЕТРЫ'!$C$48,-'⚙️ ПАРАМЕТРЫ'!$C$46)),0)</f>
        <v>-20969.406392390265</v>
      </c>
      <c r="G12" s="160">
        <f>IF(5&lt;='⚙️ ПАРАМЕТРЫ'!$C$48,-ABS(PPMT('⚙️ ПАРАМЕТРЫ'!$C$47/12,5,'⚙️ ПАРАМЕТРЫ'!$C$48,-'⚙️ ПАРАМЕТРЫ'!$C$46)),0)</f>
        <v>-21353.845509584084</v>
      </c>
      <c r="H12" s="160">
        <f>IF(6&lt;='⚙️ ПАРАМЕТРЫ'!$C$48,-ABS(PPMT('⚙️ ПАРАМЕТРЫ'!$C$47/12,6,'⚙️ ПАРАМЕТРЫ'!$C$48,-'⚙️ ПАРАМЕТРЫ'!$C$46)),0)</f>
        <v>-21745.332677259797</v>
      </c>
      <c r="I12" s="160">
        <f>IF(7&lt;='⚙️ ПАРАМЕТРЫ'!$C$48,-ABS(PPMT('⚙️ ПАРАМЕТРЫ'!$C$47/12,7,'⚙️ ПАРАМЕТРЫ'!$C$48,-'⚙️ ПАРАМЕТРЫ'!$C$46)),0)</f>
        <v>-22143.997109676227</v>
      </c>
      <c r="J12" s="160">
        <f>IF(8&lt;='⚙️ ПАРАМЕТРЫ'!$C$48,-ABS(PPMT('⚙️ ПАРАМЕТРЫ'!$C$47/12,8,'⚙️ ПАРАМЕТРЫ'!$C$48,-'⚙️ ПАРАМЕТРЫ'!$C$46)),0)</f>
        <v>-22549.970390020291</v>
      </c>
      <c r="K12" s="160">
        <f>IF(9&lt;='⚙️ ПАРАМЕТРЫ'!$C$48,-ABS(PPMT('⚙️ ПАРАМЕТРЫ'!$C$47/12,9,'⚙️ ПАРАМЕТРЫ'!$C$48,-'⚙️ ПАРАМЕТРЫ'!$C$46)),0)</f>
        <v>-22963.386513837329</v>
      </c>
      <c r="L12" s="160">
        <f>IF(10&lt;='⚙️ ПАРАМЕТРЫ'!$C$48,-ABS(PPMT('⚙️ ПАРАМЕТРЫ'!$C$47/12,10,'⚙️ ПАРАМЕТРЫ'!$C$48,-'⚙️ ПАРАМЕТРЫ'!$C$46)),0)</f>
        <v>-23384.381933257679</v>
      </c>
      <c r="M12" s="160">
        <f>IF(11&lt;='⚙️ ПАРАМЕТРЫ'!$C$48,-ABS(PPMT('⚙️ ПАРАМЕТРЫ'!$C$47/12,11,'⚙️ ПАРАМЕТРЫ'!$C$48,-'⚙️ ПАРАМЕТРЫ'!$C$46)),0)</f>
        <v>-23813.095602034067</v>
      </c>
      <c r="N12" s="160">
        <f>IF(12&lt;='⚙️ ПАРАМЕТРЫ'!$C$48,-ABS(PPMT('⚙️ ПАРАМЕТРЫ'!$C$47/12,12,'⚙️ ПАРАМЕТРЫ'!$C$48,-'⚙️ ПАРАМЕТРЫ'!$C$46)),0)</f>
        <v>-24249.66902140469</v>
      </c>
      <c r="O12" s="160">
        <f>IF(13&lt;='⚙️ ПАРАМЕТРЫ'!$C$48,-ABS(PPMT('⚙️ ПАРАМЕТРЫ'!$C$47/12,13,'⚙️ ПАРАМЕТРЫ'!$C$48,-'⚙️ ПАРАМЕТРЫ'!$C$46)),0)</f>
        <v>-24694.246286797112</v>
      </c>
      <c r="P12" s="160">
        <f>IF(14&lt;='⚙️ ПАРАМЕТРЫ'!$C$48,-ABS(PPMT('⚙️ ПАРАМЕТРЫ'!$C$47/12,14,'⚙️ ПАРАМЕТРЫ'!$C$48,-'⚙️ ПАРАМЕТРЫ'!$C$46)),0)</f>
        <v>-25146.974135388395</v>
      </c>
      <c r="Q12" s="160">
        <f>IF(15&lt;='⚙️ ПАРАМЕТРЫ'!$C$48,-ABS(PPMT('⚙️ ПАРАМЕТРЫ'!$C$47/12,15,'⚙️ ПАРАМЕТРЫ'!$C$48,-'⚙️ ПАРАМЕТРЫ'!$C$46)),0)</f>
        <v>-25608.001994537182</v>
      </c>
      <c r="R12" s="160">
        <f>IF(16&lt;='⚙️ ПАРАМЕТРЫ'!$C$48,-ABS(PPMT('⚙️ ПАРАМЕТРЫ'!$C$47/12,16,'⚙️ ПАРАМЕТРЫ'!$C$48,-'⚙️ ПАРАМЕТРЫ'!$C$46)),0)</f>
        <v>-26077.482031103696</v>
      </c>
      <c r="S12" s="160">
        <f>IF(17&lt;='⚙️ ПАРАМЕТРЫ'!$C$48,-ABS(PPMT('⚙️ ПАРАМЕТРЫ'!$C$47/12,17,'⚙️ ПАРАМЕТРЫ'!$C$48,-'⚙️ ПАРАМЕТРЫ'!$C$46)),0)</f>
        <v>-26555.56920167393</v>
      </c>
      <c r="T12" s="160">
        <f>IF(18&lt;='⚙️ ПАРАМЕТРЫ'!$C$48,-ABS(PPMT('⚙️ ПАРАМЕТРЫ'!$C$47/12,18,'⚙️ ПАРАМЕТРЫ'!$C$48,-'⚙️ ПАРАМЕТРЫ'!$C$46)),0)</f>
        <v>-27042.421303704621</v>
      </c>
      <c r="U12" s="160">
        <f>IF(19&lt;='⚙️ ПАРАМЕТРЫ'!$C$48,-ABS(PPMT('⚙️ ПАРАМЕТРЫ'!$C$47/12,19,'⚙️ ПАРАМЕТРЫ'!$C$48,-'⚙️ ПАРАМЕТРЫ'!$C$46)),0)</f>
        <v>-27538.199027605868</v>
      </c>
      <c r="V12" s="160">
        <f>IF(20&lt;='⚙️ ПАРАМЕТРЫ'!$C$48,-ABS(PPMT('⚙️ ПАРАМЕТРЫ'!$C$47/12,20,'⚙️ ПАРАМЕТРЫ'!$C$48,-'⚙️ ПАРАМЕТРЫ'!$C$46)),0)</f>
        <v>-28043.066009778642</v>
      </c>
      <c r="W12" s="160">
        <f>IF(21&lt;='⚙️ ПАРАМЕТРЫ'!$C$48,-ABS(PPMT('⚙️ ПАРАМЕТРЫ'!$C$47/12,21,'⚙️ ПАРАМЕТРЫ'!$C$48,-'⚙️ ПАРАМЕТРЫ'!$C$46)),0)</f>
        <v>-28557.188886624586</v>
      </c>
      <c r="X12" s="160">
        <f>IF(22&lt;='⚙️ ПАРАМЕТРЫ'!$C$48,-ABS(PPMT('⚙️ ПАРАМЕТРЫ'!$C$47/12,22,'⚙️ ПАРАМЕТРЫ'!$C$48,-'⚙️ ПАРАМЕТРЫ'!$C$46)),0)</f>
        <v>-29080.737349546034</v>
      </c>
      <c r="Y12" s="160">
        <f>IF(23&lt;='⚙️ ПАРАМЕТРЫ'!$C$48,-ABS(PPMT('⚙️ ПАРАМЕТРЫ'!$C$47/12,23,'⚙️ ПАРАМЕТРЫ'!$C$48,-'⚙️ ПАРАМЕТРЫ'!$C$46)),0)</f>
        <v>-29613.884200954381</v>
      </c>
      <c r="Z12" s="160">
        <f>IF(24&lt;='⚙️ ПАРАМЕТРЫ'!$C$48,-ABS(PPMT('⚙️ ПАРАМЕТРЫ'!$C$47/12,24,'⚙️ ПАРАМЕТРЫ'!$C$48,-'⚙️ ПАРАМЕТРЫ'!$C$46)),0)</f>
        <v>-30156.805411305209</v>
      </c>
      <c r="AA12" s="160">
        <f>IF(25&lt;='⚙️ ПАРАМЕТРЫ'!$C$48,-ABS(PPMT('⚙️ ПАРАМЕТРЫ'!$C$47/12,25,'⚙️ ПАРАМЕТРЫ'!$C$48,-'⚙️ ПАРАМЕТРЫ'!$C$46)),0)</f>
        <v>-30709.68017717914</v>
      </c>
      <c r="AB12" s="160">
        <f>IF(26&lt;='⚙️ ПАРАМЕТРЫ'!$C$48,-ABS(PPMT('⚙️ ПАРАМЕТРЫ'!$C$47/12,26,'⚙️ ПАРАМЕТРЫ'!$C$48,-'⚙️ ПАРАМЕТРЫ'!$C$46)),0)</f>
        <v>-31272.690980427426</v>
      </c>
      <c r="AC12" s="160">
        <f>IF(27&lt;='⚙️ ПАРАМЕТРЫ'!$C$48,-ABS(PPMT('⚙️ ПАРАМЕТРЫ'!$C$47/12,27,'⚙️ ПАРАМЕТРЫ'!$C$48,-'⚙️ ПАРАМЕТРЫ'!$C$46)),0)</f>
        <v>-31846.023648401922</v>
      </c>
      <c r="AD12" s="160">
        <f>IF(28&lt;='⚙️ ПАРАМЕТРЫ'!$C$48,-ABS(PPMT('⚙️ ПАРАМЕТРЫ'!$C$47/12,28,'⚙️ ПАРАМЕТРЫ'!$C$48,-'⚙️ ПАРАМЕТРЫ'!$C$46)),0)</f>
        <v>-32429.867415289296</v>
      </c>
      <c r="AE12" s="160">
        <f>IF(29&lt;='⚙️ ПАРАМЕТРЫ'!$C$48,-ABS(PPMT('⚙️ ПАРАМЕТРЫ'!$C$47/12,29,'⚙️ ПАРАМЕТРЫ'!$C$48,-'⚙️ ПАРАМЕТРЫ'!$C$46)),0)</f>
        <v>-33024.414984569601</v>
      </c>
      <c r="AF12" s="160">
        <f>IF(30&lt;='⚙️ ПАРАМЕТРЫ'!$C$48,-ABS(PPMT('⚙️ ПАРАМЕТРЫ'!$C$47/12,30,'⚙️ ПАРАМЕТРЫ'!$C$48,-'⚙️ ПАРАМЕТРЫ'!$C$46)),0)</f>
        <v>-33629.86259262004</v>
      </c>
      <c r="AG12" s="160">
        <f>IF(31&lt;='⚙️ ПАРАМЕТРЫ'!$C$48,-ABS(PPMT('⚙️ ПАРАМЕТРЫ'!$C$47/12,31,'⚙️ ПАРАМЕТРЫ'!$C$48,-'⚙️ ПАРАМЕТРЫ'!$C$46)),0)</f>
        <v>-34246.410073484738</v>
      </c>
      <c r="AH12" s="160">
        <f>IF(32&lt;='⚙️ ПАРАМЕТРЫ'!$C$48,-ABS(PPMT('⚙️ ПАРАМЕТРЫ'!$C$47/12,32,'⚙️ ПАРАМЕТРЫ'!$C$48,-'⚙️ ПАРАМЕТРЫ'!$C$46)),0)</f>
        <v>-34874.260924831964</v>
      </c>
      <c r="AI12" s="160">
        <f>IF(33&lt;='⚙️ ПАРАМЕТРЫ'!$C$48,-ABS(PPMT('⚙️ ПАРАМЕТРЫ'!$C$47/12,33,'⚙️ ПАРАМЕТРЫ'!$C$48,-'⚙️ ПАРАМЕТРЫ'!$C$46)),0)</f>
        <v>-35513.622375120547</v>
      </c>
      <c r="AJ12" s="160">
        <f>IF(34&lt;='⚙️ ПАРАМЕТРЫ'!$C$48,-ABS(PPMT('⚙️ ПАРАМЕТРЫ'!$C$47/12,34,'⚙️ ПАРАМЕТРЫ'!$C$48,-'⚙️ ПАРАМЕТРЫ'!$C$46)),0)</f>
        <v>-36164.705451997754</v>
      </c>
      <c r="AK12" s="160">
        <f>IF(35&lt;='⚙️ ПАРАМЕТРЫ'!$C$48,-ABS(PPMT('⚙️ ПАРАМЕТРЫ'!$C$47/12,35,'⚙️ ПАРАМЕТРЫ'!$C$48,-'⚙️ ПАРАМЕТРЫ'!$C$46)),0)</f>
        <v>-36827.725051951049</v>
      </c>
      <c r="AL12" s="160">
        <f>IF(36&lt;='⚙️ ПАРАМЕТРЫ'!$C$48,-ABS(PPMT('⚙️ ПАРАМЕТРЫ'!$C$47/12,36,'⚙️ ПАРАМЕТРЫ'!$C$48,-'⚙️ ПАРАМЕТРЫ'!$C$46)),0)</f>
        <v>-37502.900011236816</v>
      </c>
    </row>
    <row r="13" spans="1:38" ht="15" customHeight="1" x14ac:dyDescent="0.25">
      <c r="A13" s="193"/>
      <c r="B13" s="3" t="s">
        <v>381</v>
      </c>
      <c r="C13" s="3"/>
      <c r="D13" s="3"/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  <c r="AB13" s="3"/>
      <c r="AC13" s="3"/>
      <c r="AD13" s="3"/>
      <c r="AE13" s="3"/>
      <c r="AF13" s="3"/>
      <c r="AG13" s="3"/>
      <c r="AH13" s="3"/>
      <c r="AI13" s="3"/>
      <c r="AJ13" s="3"/>
      <c r="AK13" s="3"/>
      <c r="AL13" s="3"/>
    </row>
    <row r="14" spans="1:38" s="72" customFormat="1" ht="12.75" customHeight="1" x14ac:dyDescent="0.25">
      <c r="A14" s="46"/>
      <c r="B14" s="2" t="s">
        <v>382</v>
      </c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  <c r="AA14" s="2"/>
      <c r="AB14" s="2"/>
      <c r="AC14" s="2"/>
      <c r="AD14" s="2"/>
      <c r="AE14" s="2"/>
      <c r="AF14" s="2"/>
      <c r="AG14" s="2"/>
      <c r="AH14" s="2"/>
      <c r="AI14" s="2"/>
      <c r="AJ14" s="2"/>
      <c r="AK14" s="2"/>
      <c r="AL14" s="2"/>
    </row>
    <row r="15" spans="1:38" ht="15" customHeight="1" x14ac:dyDescent="0.25">
      <c r="A15" s="191"/>
      <c r="B15" s="191" t="s">
        <v>383</v>
      </c>
      <c r="C15" s="160">
        <f>'📈 P&amp;L'!C38</f>
        <v>64149.666666666672</v>
      </c>
      <c r="D15" s="160">
        <f>'📈 P&amp;L'!D38</f>
        <v>634453.71386382089</v>
      </c>
      <c r="E15" s="160">
        <f>'📈 P&amp;L'!E38</f>
        <v>1279104.4352595897</v>
      </c>
      <c r="F15" s="160">
        <f>'📈 P&amp;L'!F38</f>
        <v>1279481.9532142808</v>
      </c>
      <c r="G15" s="160">
        <f>'📈 P&amp;L'!G38</f>
        <v>1205526.3923314747</v>
      </c>
      <c r="H15" s="160">
        <f>'📈 P&amp;L'!H38</f>
        <v>1106797.8794991502</v>
      </c>
      <c r="I15" s="160">
        <f>'📈 P&amp;L'!I38</f>
        <v>1032856.5439315666</v>
      </c>
      <c r="J15" s="160">
        <f>'📈 P&amp;L'!J38</f>
        <v>1033262.5172119108</v>
      </c>
      <c r="K15" s="160">
        <f>'📈 P&amp;L'!K38</f>
        <v>1454935.9333357278</v>
      </c>
      <c r="L15" s="160">
        <f>'📈 P&amp;L'!L38</f>
        <v>860636.9287551482</v>
      </c>
      <c r="M15" s="160">
        <f>'📈 P&amp;L'!M38</f>
        <v>861065.64242392452</v>
      </c>
      <c r="N15" s="160">
        <f>'📈 P&amp;L'!N38</f>
        <v>935842.21584329521</v>
      </c>
      <c r="O15" s="160">
        <f>'📈 P&amp;L'!O38</f>
        <v>1334806.7931086875</v>
      </c>
      <c r="P15" s="160">
        <f>'📈 P&amp;L'!P38</f>
        <v>1442309.5209572788</v>
      </c>
      <c r="Q15" s="160">
        <f>'📈 P&amp;L'!Q38</f>
        <v>1523056.5488164276</v>
      </c>
      <c r="R15" s="160">
        <f>'📈 P&amp;L'!R38</f>
        <v>1523526.0288529941</v>
      </c>
      <c r="S15" s="160">
        <f>'📈 P&amp;L'!S38</f>
        <v>1443718.1160235645</v>
      </c>
      <c r="T15" s="160">
        <f>'📈 P&amp;L'!T38</f>
        <v>1337154.968125595</v>
      </c>
      <c r="U15" s="160">
        <f>'📈 P&amp;L'!U38</f>
        <v>1230600.7458494965</v>
      </c>
      <c r="V15" s="160">
        <f>'📈 P&amp;L'!V38</f>
        <v>1231105.6128316692</v>
      </c>
      <c r="W15" s="160">
        <f>'📈 P&amp;L'!W38</f>
        <v>1740105.7357085152</v>
      </c>
      <c r="X15" s="160">
        <f>'📈 P&amp;L'!X38</f>
        <v>1044807.2841714364</v>
      </c>
      <c r="Y15" s="160">
        <f>'📈 P&amp;L'!Y38</f>
        <v>1045340.431022845</v>
      </c>
      <c r="Z15" s="160">
        <f>'📈 P&amp;L'!Z38</f>
        <v>1126169.3522331957</v>
      </c>
      <c r="AA15" s="160">
        <f>'📈 P&amp;L'!AA38</f>
        <v>1594566.2269990696</v>
      </c>
      <c r="AB15" s="160">
        <f>'📈 P&amp;L'!AB38</f>
        <v>1710745.2378023178</v>
      </c>
      <c r="AC15" s="160">
        <f>'📈 P&amp;L'!AC38</f>
        <v>1826934.5704702924</v>
      </c>
      <c r="AD15" s="160">
        <f>'📈 P&amp;L'!AD38</f>
        <v>1827518.4142371798</v>
      </c>
      <c r="AE15" s="160">
        <f>'📈 P&amp;L'!AE38</f>
        <v>1712496.9618064601</v>
      </c>
      <c r="AF15" s="160">
        <f>'📈 P&amp;L'!AF38</f>
        <v>1597486.4094145105</v>
      </c>
      <c r="AG15" s="160">
        <f>'📈 P&amp;L'!AG38</f>
        <v>1482486.9568953752</v>
      </c>
      <c r="AH15" s="160">
        <f>'📈 P&amp;L'!AH38</f>
        <v>1483114.8077467224</v>
      </c>
      <c r="AI15" s="160">
        <f>'📈 P&amp;L'!AI38</f>
        <v>2061836.1691970113</v>
      </c>
      <c r="AJ15" s="160">
        <f>'📈 P&amp;L'!AJ38</f>
        <v>1253171.2522738883</v>
      </c>
      <c r="AK15" s="160">
        <f>'📈 P&amp;L'!AK38</f>
        <v>1253834.2718738415</v>
      </c>
      <c r="AL15" s="160">
        <f>'📈 P&amp;L'!AL38</f>
        <v>1370127.4468331274</v>
      </c>
    </row>
    <row r="16" spans="1:38" ht="15" customHeight="1" x14ac:dyDescent="0.25">
      <c r="A16" s="191"/>
      <c r="B16" s="191" t="s">
        <v>384</v>
      </c>
      <c r="C16" s="160">
        <f>'📈 P&amp;L'!C32</f>
        <v>17857</v>
      </c>
      <c r="D16" s="160">
        <f>'📈 P&amp;L'!D32</f>
        <v>17857</v>
      </c>
      <c r="E16" s="160">
        <f>'📈 P&amp;L'!E32</f>
        <v>17857</v>
      </c>
      <c r="F16" s="160">
        <f>'📈 P&amp;L'!F32</f>
        <v>17857</v>
      </c>
      <c r="G16" s="160">
        <f>'📈 P&amp;L'!G32</f>
        <v>17857</v>
      </c>
      <c r="H16" s="160">
        <f>'📈 P&amp;L'!H32</f>
        <v>17857</v>
      </c>
      <c r="I16" s="160">
        <f>'📈 P&amp;L'!I32</f>
        <v>17857</v>
      </c>
      <c r="J16" s="160">
        <f>'📈 P&amp;L'!J32</f>
        <v>17857</v>
      </c>
      <c r="K16" s="160">
        <f>'📈 P&amp;L'!K32</f>
        <v>17857</v>
      </c>
      <c r="L16" s="160">
        <f>'📈 P&amp;L'!L32</f>
        <v>17857</v>
      </c>
      <c r="M16" s="160">
        <f>'📈 P&amp;L'!M32</f>
        <v>17857</v>
      </c>
      <c r="N16" s="160">
        <f>'📈 P&amp;L'!N32</f>
        <v>17857</v>
      </c>
      <c r="O16" s="160">
        <f>'📈 P&amp;L'!O32</f>
        <v>17857</v>
      </c>
      <c r="P16" s="160">
        <f>'📈 P&amp;L'!P32</f>
        <v>17857</v>
      </c>
      <c r="Q16" s="160">
        <f>'📈 P&amp;L'!Q32</f>
        <v>17857</v>
      </c>
      <c r="R16" s="160">
        <f>'📈 P&amp;L'!R32</f>
        <v>17857</v>
      </c>
      <c r="S16" s="160">
        <f>'📈 P&amp;L'!S32</f>
        <v>17857</v>
      </c>
      <c r="T16" s="160">
        <f>'📈 P&amp;L'!T32</f>
        <v>17857</v>
      </c>
      <c r="U16" s="160">
        <f>'📈 P&amp;L'!U32</f>
        <v>17857</v>
      </c>
      <c r="V16" s="160">
        <f>'📈 P&amp;L'!V32</f>
        <v>17857</v>
      </c>
      <c r="W16" s="160">
        <f>'📈 P&amp;L'!W32</f>
        <v>17857</v>
      </c>
      <c r="X16" s="160">
        <f>'📈 P&amp;L'!X32</f>
        <v>17857</v>
      </c>
      <c r="Y16" s="160">
        <f>'📈 P&amp;L'!Y32</f>
        <v>17857</v>
      </c>
      <c r="Z16" s="160">
        <f>'📈 P&amp;L'!Z32</f>
        <v>17857</v>
      </c>
      <c r="AA16" s="160">
        <f>'📈 P&amp;L'!AA32</f>
        <v>17857</v>
      </c>
      <c r="AB16" s="160">
        <f>'📈 P&amp;L'!AB32</f>
        <v>17857</v>
      </c>
      <c r="AC16" s="160">
        <f>'📈 P&amp;L'!AC32</f>
        <v>17857</v>
      </c>
      <c r="AD16" s="160">
        <f>'📈 P&amp;L'!AD32</f>
        <v>17857</v>
      </c>
      <c r="AE16" s="160">
        <f>'📈 P&amp;L'!AE32</f>
        <v>17857</v>
      </c>
      <c r="AF16" s="160">
        <f>'📈 P&amp;L'!AF32</f>
        <v>17857</v>
      </c>
      <c r="AG16" s="160">
        <f>'📈 P&amp;L'!AG32</f>
        <v>17857</v>
      </c>
      <c r="AH16" s="160">
        <f>'📈 P&amp;L'!AH32</f>
        <v>17857</v>
      </c>
      <c r="AI16" s="160">
        <f>'📈 P&amp;L'!AI32</f>
        <v>17857</v>
      </c>
      <c r="AJ16" s="160">
        <f>'📈 P&amp;L'!AJ32</f>
        <v>17857</v>
      </c>
      <c r="AK16" s="160">
        <f>'📈 P&amp;L'!AK32</f>
        <v>17857</v>
      </c>
      <c r="AL16" s="160">
        <f>'📈 P&amp;L'!AL32</f>
        <v>17857</v>
      </c>
    </row>
    <row r="17" spans="1:38" ht="15" customHeight="1" x14ac:dyDescent="0.25">
      <c r="A17" s="193"/>
      <c r="B17" s="3" t="s">
        <v>385</v>
      </c>
      <c r="C17" s="3"/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  <c r="AA17" s="3"/>
      <c r="AB17" s="3"/>
      <c r="AC17" s="3"/>
      <c r="AD17" s="3"/>
      <c r="AE17" s="3"/>
      <c r="AF17" s="3"/>
      <c r="AG17" s="3"/>
      <c r="AH17" s="3"/>
      <c r="AI17" s="3"/>
      <c r="AJ17" s="3"/>
      <c r="AK17" s="3"/>
      <c r="AL17" s="3"/>
    </row>
    <row r="18" spans="1:38" s="72" customFormat="1" ht="15.75" customHeight="1" x14ac:dyDescent="0.25">
      <c r="A18" s="194"/>
      <c r="B18" s="194" t="s">
        <v>386</v>
      </c>
      <c r="C18" s="195">
        <f t="shared" ref="C18:AL18" si="0">C15+C16</f>
        <v>82006.666666666672</v>
      </c>
      <c r="D18" s="195">
        <f t="shared" si="0"/>
        <v>652310.71386382089</v>
      </c>
      <c r="E18" s="195">
        <f t="shared" si="0"/>
        <v>1296961.4352595897</v>
      </c>
      <c r="F18" s="195">
        <f t="shared" si="0"/>
        <v>1297338.9532142808</v>
      </c>
      <c r="G18" s="195">
        <f t="shared" si="0"/>
        <v>1223383.3923314747</v>
      </c>
      <c r="H18" s="195">
        <f t="shared" si="0"/>
        <v>1124654.8794991502</v>
      </c>
      <c r="I18" s="195">
        <f t="shared" si="0"/>
        <v>1050713.5439315666</v>
      </c>
      <c r="J18" s="195">
        <f t="shared" si="0"/>
        <v>1051119.5172119108</v>
      </c>
      <c r="K18" s="195">
        <f t="shared" si="0"/>
        <v>1472792.9333357278</v>
      </c>
      <c r="L18" s="195">
        <f t="shared" si="0"/>
        <v>878493.9287551482</v>
      </c>
      <c r="M18" s="195">
        <f t="shared" si="0"/>
        <v>878922.64242392452</v>
      </c>
      <c r="N18" s="195">
        <f t="shared" si="0"/>
        <v>953699.21584329521</v>
      </c>
      <c r="O18" s="195">
        <f t="shared" si="0"/>
        <v>1352663.7931086875</v>
      </c>
      <c r="P18" s="195">
        <f t="shared" si="0"/>
        <v>1460166.5209572788</v>
      </c>
      <c r="Q18" s="195">
        <f t="shared" si="0"/>
        <v>1540913.5488164276</v>
      </c>
      <c r="R18" s="195">
        <f t="shared" si="0"/>
        <v>1541383.0288529941</v>
      </c>
      <c r="S18" s="195">
        <f t="shared" si="0"/>
        <v>1461575.1160235645</v>
      </c>
      <c r="T18" s="195">
        <f t="shared" si="0"/>
        <v>1355011.968125595</v>
      </c>
      <c r="U18" s="195">
        <f t="shared" si="0"/>
        <v>1248457.7458494965</v>
      </c>
      <c r="V18" s="195">
        <f t="shared" si="0"/>
        <v>1248962.6128316692</v>
      </c>
      <c r="W18" s="195">
        <f t="shared" si="0"/>
        <v>1757962.7357085152</v>
      </c>
      <c r="X18" s="195">
        <f t="shared" si="0"/>
        <v>1062664.2841714364</v>
      </c>
      <c r="Y18" s="195">
        <f t="shared" si="0"/>
        <v>1063197.431022845</v>
      </c>
      <c r="Z18" s="195">
        <f t="shared" si="0"/>
        <v>1144026.3522331957</v>
      </c>
      <c r="AA18" s="195">
        <f t="shared" si="0"/>
        <v>1612423.2269990696</v>
      </c>
      <c r="AB18" s="195">
        <f t="shared" si="0"/>
        <v>1728602.2378023178</v>
      </c>
      <c r="AC18" s="195">
        <f t="shared" si="0"/>
        <v>1844791.5704702924</v>
      </c>
      <c r="AD18" s="195">
        <f t="shared" si="0"/>
        <v>1845375.4142371798</v>
      </c>
      <c r="AE18" s="195">
        <f t="shared" si="0"/>
        <v>1730353.9618064601</v>
      </c>
      <c r="AF18" s="195">
        <f t="shared" si="0"/>
        <v>1615343.4094145105</v>
      </c>
      <c r="AG18" s="195">
        <f t="shared" si="0"/>
        <v>1500343.9568953752</v>
      </c>
      <c r="AH18" s="195">
        <f t="shared" si="0"/>
        <v>1500971.8077467224</v>
      </c>
      <c r="AI18" s="195">
        <f t="shared" si="0"/>
        <v>2079693.1691970113</v>
      </c>
      <c r="AJ18" s="195">
        <f t="shared" si="0"/>
        <v>1271028.2522738883</v>
      </c>
      <c r="AK18" s="195">
        <f t="shared" si="0"/>
        <v>1271691.2718738415</v>
      </c>
      <c r="AL18" s="195">
        <f t="shared" si="0"/>
        <v>1387984.4468331274</v>
      </c>
    </row>
    <row r="20" spans="1:38" s="72" customFormat="1" ht="12.75" customHeight="1" x14ac:dyDescent="0.25">
      <c r="A20" s="196"/>
      <c r="B20" s="2" t="s">
        <v>387</v>
      </c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  <c r="AA20" s="2"/>
      <c r="AB20" s="2"/>
      <c r="AC20" s="2"/>
      <c r="AD20" s="2"/>
      <c r="AE20" s="2"/>
      <c r="AF20" s="2"/>
      <c r="AG20" s="2"/>
      <c r="AH20" s="2"/>
      <c r="AI20" s="2"/>
      <c r="AJ20" s="2"/>
      <c r="AK20" s="2"/>
      <c r="AL20" s="2"/>
    </row>
    <row r="21" spans="1:38" x14ac:dyDescent="0.25">
      <c r="A21" s="197"/>
      <c r="B21" s="197">
        <f>B9</f>
        <v>-2640000</v>
      </c>
      <c r="C21" s="197">
        <f>C18+C11+C12</f>
        <v>1062149.5468218906</v>
      </c>
      <c r="D21" s="197">
        <f t="shared" ref="D21:AL21" si="1">D18+D12</f>
        <v>632089.54682189052</v>
      </c>
      <c r="E21" s="197">
        <f t="shared" si="1"/>
        <v>1276369.5468218906</v>
      </c>
      <c r="F21" s="197">
        <f t="shared" si="1"/>
        <v>1276369.5468218904</v>
      </c>
      <c r="G21" s="197">
        <f t="shared" si="1"/>
        <v>1202029.5468218906</v>
      </c>
      <c r="H21" s="197">
        <f t="shared" si="1"/>
        <v>1102909.5468218904</v>
      </c>
      <c r="I21" s="197">
        <f t="shared" si="1"/>
        <v>1028569.5468218904</v>
      </c>
      <c r="J21" s="197">
        <f t="shared" si="1"/>
        <v>1028569.5468218905</v>
      </c>
      <c r="K21" s="197">
        <f t="shared" si="1"/>
        <v>1449829.5468218904</v>
      </c>
      <c r="L21" s="197">
        <f t="shared" si="1"/>
        <v>855109.54682189052</v>
      </c>
      <c r="M21" s="197">
        <f t="shared" si="1"/>
        <v>855109.5468218904</v>
      </c>
      <c r="N21" s="197">
        <f t="shared" si="1"/>
        <v>929449.54682189052</v>
      </c>
      <c r="O21" s="197">
        <f t="shared" si="1"/>
        <v>1327969.5468218904</v>
      </c>
      <c r="P21" s="197">
        <f t="shared" si="1"/>
        <v>1435019.5468218904</v>
      </c>
      <c r="Q21" s="197">
        <f t="shared" si="1"/>
        <v>1515305.5468218904</v>
      </c>
      <c r="R21" s="197">
        <f t="shared" si="1"/>
        <v>1515305.5468218904</v>
      </c>
      <c r="S21" s="197">
        <f t="shared" si="1"/>
        <v>1435019.5468218906</v>
      </c>
      <c r="T21" s="197">
        <f t="shared" si="1"/>
        <v>1327969.5468218904</v>
      </c>
      <c r="U21" s="197">
        <f t="shared" si="1"/>
        <v>1220919.5468218906</v>
      </c>
      <c r="V21" s="197">
        <f t="shared" si="1"/>
        <v>1220919.5468218906</v>
      </c>
      <c r="W21" s="197">
        <f t="shared" si="1"/>
        <v>1729405.5468218906</v>
      </c>
      <c r="X21" s="197">
        <f t="shared" si="1"/>
        <v>1033583.5468218904</v>
      </c>
      <c r="Y21" s="197">
        <f t="shared" si="1"/>
        <v>1033583.5468218906</v>
      </c>
      <c r="Z21" s="197">
        <f t="shared" si="1"/>
        <v>1113869.5468218904</v>
      </c>
      <c r="AA21" s="197">
        <f t="shared" si="1"/>
        <v>1581713.5468218904</v>
      </c>
      <c r="AB21" s="197">
        <f t="shared" si="1"/>
        <v>1697329.5468218904</v>
      </c>
      <c r="AC21" s="197">
        <f t="shared" si="1"/>
        <v>1812945.5468218904</v>
      </c>
      <c r="AD21" s="197">
        <f t="shared" si="1"/>
        <v>1812945.5468218904</v>
      </c>
      <c r="AE21" s="197">
        <f t="shared" si="1"/>
        <v>1697329.5468218904</v>
      </c>
      <c r="AF21" s="197">
        <f t="shared" si="1"/>
        <v>1581713.5468218904</v>
      </c>
      <c r="AG21" s="197">
        <f t="shared" si="1"/>
        <v>1466097.5468218904</v>
      </c>
      <c r="AH21" s="197">
        <f t="shared" si="1"/>
        <v>1466097.5468218904</v>
      </c>
      <c r="AI21" s="197">
        <f t="shared" si="1"/>
        <v>2044179.5468218906</v>
      </c>
      <c r="AJ21" s="197">
        <f t="shared" si="1"/>
        <v>1234863.5468218906</v>
      </c>
      <c r="AK21" s="197">
        <f t="shared" si="1"/>
        <v>1234863.5468218904</v>
      </c>
      <c r="AL21" s="197">
        <f t="shared" si="1"/>
        <v>1350481.5468218906</v>
      </c>
    </row>
    <row r="22" spans="1:38" x14ac:dyDescent="0.25">
      <c r="A22" s="197"/>
      <c r="B22" s="197">
        <f>B21</f>
        <v>-2640000</v>
      </c>
      <c r="C22" s="197">
        <f t="shared" ref="C22:AL22" si="2">B22+C21</f>
        <v>-1577850.4531781094</v>
      </c>
      <c r="D22" s="197">
        <f t="shared" si="2"/>
        <v>-945760.90635621885</v>
      </c>
      <c r="E22" s="197">
        <f t="shared" si="2"/>
        <v>330608.64046567178</v>
      </c>
      <c r="F22" s="197">
        <f t="shared" si="2"/>
        <v>1606978.1872875621</v>
      </c>
      <c r="G22" s="197">
        <f t="shared" si="2"/>
        <v>2809007.7341094529</v>
      </c>
      <c r="H22" s="197">
        <f t="shared" si="2"/>
        <v>3911917.2809313433</v>
      </c>
      <c r="I22" s="197">
        <f t="shared" si="2"/>
        <v>4940486.8277532337</v>
      </c>
      <c r="J22" s="197">
        <f t="shared" si="2"/>
        <v>5969056.3745751241</v>
      </c>
      <c r="K22" s="197">
        <f t="shared" si="2"/>
        <v>7418885.9213970145</v>
      </c>
      <c r="L22" s="197">
        <f t="shared" si="2"/>
        <v>8273995.4682189049</v>
      </c>
      <c r="M22" s="197">
        <f t="shared" si="2"/>
        <v>9129105.0150407963</v>
      </c>
      <c r="N22" s="197">
        <f t="shared" si="2"/>
        <v>10058554.561862687</v>
      </c>
      <c r="O22" s="197">
        <f t="shared" si="2"/>
        <v>11386524.108684577</v>
      </c>
      <c r="P22" s="197">
        <f t="shared" si="2"/>
        <v>12821543.655506467</v>
      </c>
      <c r="Q22" s="197">
        <f t="shared" si="2"/>
        <v>14336849.202328358</v>
      </c>
      <c r="R22" s="197">
        <f t="shared" si="2"/>
        <v>15852154.749150248</v>
      </c>
      <c r="S22" s="197">
        <f t="shared" si="2"/>
        <v>17287174.295972139</v>
      </c>
      <c r="T22" s="197">
        <f t="shared" si="2"/>
        <v>18615143.842794031</v>
      </c>
      <c r="U22" s="197">
        <f t="shared" si="2"/>
        <v>19836063.389615923</v>
      </c>
      <c r="V22" s="197">
        <f t="shared" si="2"/>
        <v>21056982.936437815</v>
      </c>
      <c r="W22" s="197">
        <f t="shared" si="2"/>
        <v>22786388.483259708</v>
      </c>
      <c r="X22" s="197">
        <f t="shared" si="2"/>
        <v>23819972.0300816</v>
      </c>
      <c r="Y22" s="197">
        <f t="shared" si="2"/>
        <v>24853555.576903492</v>
      </c>
      <c r="Z22" s="197">
        <f t="shared" si="2"/>
        <v>25967425.123725384</v>
      </c>
      <c r="AA22" s="197">
        <f t="shared" si="2"/>
        <v>27549138.670547277</v>
      </c>
      <c r="AB22" s="197">
        <f t="shared" si="2"/>
        <v>29246468.217369169</v>
      </c>
      <c r="AC22" s="197">
        <f t="shared" si="2"/>
        <v>31059413.764191061</v>
      </c>
      <c r="AD22" s="197">
        <f t="shared" si="2"/>
        <v>32872359.311012954</v>
      </c>
      <c r="AE22" s="197">
        <f t="shared" si="2"/>
        <v>34569688.857834846</v>
      </c>
      <c r="AF22" s="197">
        <f t="shared" si="2"/>
        <v>36151402.404656738</v>
      </c>
      <c r="AG22" s="197">
        <f t="shared" si="2"/>
        <v>37617499.95147863</v>
      </c>
      <c r="AH22" s="197">
        <f t="shared" si="2"/>
        <v>39083597.498300523</v>
      </c>
      <c r="AI22" s="197">
        <f t="shared" si="2"/>
        <v>41127777.045122415</v>
      </c>
      <c r="AJ22" s="197">
        <f t="shared" si="2"/>
        <v>42362640.591944307</v>
      </c>
      <c r="AK22" s="197">
        <f t="shared" si="2"/>
        <v>43597504.138766199</v>
      </c>
      <c r="AL22" s="197">
        <f t="shared" si="2"/>
        <v>44947985.685588092</v>
      </c>
    </row>
    <row r="23" spans="1:38" ht="15" customHeight="1" x14ac:dyDescent="0.25">
      <c r="A23" s="193"/>
      <c r="B23" s="3" t="s">
        <v>388</v>
      </c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  <c r="AB23" s="3"/>
      <c r="AC23" s="3"/>
      <c r="AD23" s="3"/>
      <c r="AE23" s="3"/>
      <c r="AF23" s="3"/>
      <c r="AG23" s="3"/>
      <c r="AH23" s="3"/>
      <c r="AI23" s="3"/>
      <c r="AJ23" s="3"/>
      <c r="AK23" s="3"/>
      <c r="AL23" s="3"/>
    </row>
    <row r="24" spans="1:38" ht="16.5" customHeight="1" x14ac:dyDescent="0.25">
      <c r="A24" s="198"/>
      <c r="B24" s="321" t="s">
        <v>389</v>
      </c>
      <c r="C24" s="321"/>
      <c r="D24" s="321"/>
      <c r="E24" s="193"/>
      <c r="F24" s="193"/>
      <c r="G24" s="193"/>
      <c r="H24" s="193"/>
      <c r="I24" s="193"/>
      <c r="J24" s="193"/>
      <c r="K24" s="193"/>
      <c r="L24" s="193"/>
      <c r="M24" s="193"/>
      <c r="N24" s="193"/>
      <c r="O24" s="193"/>
      <c r="P24" s="193"/>
      <c r="Q24" s="193"/>
      <c r="R24" s="193"/>
      <c r="S24" s="193"/>
      <c r="T24" s="193"/>
      <c r="U24" s="193"/>
      <c r="V24" s="193"/>
      <c r="W24" s="193"/>
      <c r="X24" s="193"/>
      <c r="Y24" s="193"/>
      <c r="Z24" s="193"/>
      <c r="AA24" s="193"/>
      <c r="AB24" s="193"/>
      <c r="AC24" s="193"/>
      <c r="AD24" s="193"/>
      <c r="AE24" s="193"/>
      <c r="AF24" s="193"/>
      <c r="AG24" s="193"/>
      <c r="AH24" s="193"/>
      <c r="AI24" s="193"/>
      <c r="AJ24" s="193"/>
      <c r="AK24" s="193"/>
      <c r="AL24" s="193"/>
    </row>
    <row r="25" spans="1:38" ht="15" customHeight="1" x14ac:dyDescent="0.25">
      <c r="A25" s="199"/>
      <c r="B25" s="200">
        <f>-'⚙️ ПАРАМЕТРЫ'!C41</f>
        <v>-2640000</v>
      </c>
      <c r="C25" s="201">
        <f t="shared" ref="C25:AL25" si="3">C18</f>
        <v>82006.666666666672</v>
      </c>
      <c r="D25" s="201">
        <f t="shared" si="3"/>
        <v>652310.71386382089</v>
      </c>
      <c r="E25" s="201">
        <f t="shared" si="3"/>
        <v>1296961.4352595897</v>
      </c>
      <c r="F25" s="201">
        <f t="shared" si="3"/>
        <v>1297338.9532142808</v>
      </c>
      <c r="G25" s="201">
        <f t="shared" si="3"/>
        <v>1223383.3923314747</v>
      </c>
      <c r="H25" s="201">
        <f t="shared" si="3"/>
        <v>1124654.8794991502</v>
      </c>
      <c r="I25" s="201">
        <f t="shared" si="3"/>
        <v>1050713.5439315666</v>
      </c>
      <c r="J25" s="201">
        <f t="shared" si="3"/>
        <v>1051119.5172119108</v>
      </c>
      <c r="K25" s="201">
        <f t="shared" si="3"/>
        <v>1472792.9333357278</v>
      </c>
      <c r="L25" s="201">
        <f t="shared" si="3"/>
        <v>878493.9287551482</v>
      </c>
      <c r="M25" s="201">
        <f t="shared" si="3"/>
        <v>878922.64242392452</v>
      </c>
      <c r="N25" s="201">
        <f t="shared" si="3"/>
        <v>953699.21584329521</v>
      </c>
      <c r="O25" s="201">
        <f t="shared" si="3"/>
        <v>1352663.7931086875</v>
      </c>
      <c r="P25" s="201">
        <f t="shared" si="3"/>
        <v>1460166.5209572788</v>
      </c>
      <c r="Q25" s="201">
        <f t="shared" si="3"/>
        <v>1540913.5488164276</v>
      </c>
      <c r="R25" s="201">
        <f t="shared" si="3"/>
        <v>1541383.0288529941</v>
      </c>
      <c r="S25" s="201">
        <f t="shared" si="3"/>
        <v>1461575.1160235645</v>
      </c>
      <c r="T25" s="201">
        <f t="shared" si="3"/>
        <v>1355011.968125595</v>
      </c>
      <c r="U25" s="201">
        <f t="shared" si="3"/>
        <v>1248457.7458494965</v>
      </c>
      <c r="V25" s="201">
        <f t="shared" si="3"/>
        <v>1248962.6128316692</v>
      </c>
      <c r="W25" s="201">
        <f t="shared" si="3"/>
        <v>1757962.7357085152</v>
      </c>
      <c r="X25" s="201">
        <f t="shared" si="3"/>
        <v>1062664.2841714364</v>
      </c>
      <c r="Y25" s="201">
        <f t="shared" si="3"/>
        <v>1063197.431022845</v>
      </c>
      <c r="Z25" s="201">
        <f t="shared" si="3"/>
        <v>1144026.3522331957</v>
      </c>
      <c r="AA25" s="201">
        <f t="shared" si="3"/>
        <v>1612423.2269990696</v>
      </c>
      <c r="AB25" s="201">
        <f t="shared" si="3"/>
        <v>1728602.2378023178</v>
      </c>
      <c r="AC25" s="201">
        <f t="shared" si="3"/>
        <v>1844791.5704702924</v>
      </c>
      <c r="AD25" s="201">
        <f t="shared" si="3"/>
        <v>1845375.4142371798</v>
      </c>
      <c r="AE25" s="201">
        <f t="shared" si="3"/>
        <v>1730353.9618064601</v>
      </c>
      <c r="AF25" s="201">
        <f t="shared" si="3"/>
        <v>1615343.4094145105</v>
      </c>
      <c r="AG25" s="201">
        <f t="shared" si="3"/>
        <v>1500343.9568953752</v>
      </c>
      <c r="AH25" s="201">
        <f t="shared" si="3"/>
        <v>1500971.8077467224</v>
      </c>
      <c r="AI25" s="201">
        <f t="shared" si="3"/>
        <v>2079693.1691970113</v>
      </c>
      <c r="AJ25" s="201">
        <f t="shared" si="3"/>
        <v>1271028.2522738883</v>
      </c>
      <c r="AK25" s="201">
        <f t="shared" si="3"/>
        <v>1271691.2718738415</v>
      </c>
      <c r="AL25" s="201">
        <f t="shared" si="3"/>
        <v>1387984.4468331274</v>
      </c>
    </row>
    <row r="26" spans="1:38" ht="15" customHeight="1" x14ac:dyDescent="0.25">
      <c r="A26" s="199"/>
      <c r="B26" s="200">
        <f>B25</f>
        <v>-2640000</v>
      </c>
      <c r="C26" s="201">
        <f t="shared" ref="C26:AL26" si="4">B26+C25</f>
        <v>-2557993.3333333335</v>
      </c>
      <c r="D26" s="201">
        <f t="shared" si="4"/>
        <v>-1905682.6194695127</v>
      </c>
      <c r="E26" s="201">
        <f t="shared" si="4"/>
        <v>-608721.18420992303</v>
      </c>
      <c r="F26" s="201">
        <f t="shared" si="4"/>
        <v>688617.76900435775</v>
      </c>
      <c r="G26" s="201">
        <f t="shared" si="4"/>
        <v>1912001.1613358324</v>
      </c>
      <c r="H26" s="201">
        <f t="shared" si="4"/>
        <v>3036656.0408349829</v>
      </c>
      <c r="I26" s="201">
        <f t="shared" si="4"/>
        <v>4087369.5847665495</v>
      </c>
      <c r="J26" s="201">
        <f t="shared" si="4"/>
        <v>5138489.1019784603</v>
      </c>
      <c r="K26" s="201">
        <f t="shared" si="4"/>
        <v>6611282.0353141883</v>
      </c>
      <c r="L26" s="201">
        <f t="shared" si="4"/>
        <v>7489775.9640693367</v>
      </c>
      <c r="M26" s="201">
        <f t="shared" si="4"/>
        <v>8368698.6064932607</v>
      </c>
      <c r="N26" s="201">
        <f t="shared" si="4"/>
        <v>9322397.8223365564</v>
      </c>
      <c r="O26" s="201">
        <f t="shared" si="4"/>
        <v>10675061.615445243</v>
      </c>
      <c r="P26" s="201">
        <f t="shared" si="4"/>
        <v>12135228.136402521</v>
      </c>
      <c r="Q26" s="201">
        <f t="shared" si="4"/>
        <v>13676141.685218949</v>
      </c>
      <c r="R26" s="201">
        <f t="shared" si="4"/>
        <v>15217524.714071942</v>
      </c>
      <c r="S26" s="201">
        <f t="shared" si="4"/>
        <v>16679099.830095507</v>
      </c>
      <c r="T26" s="201">
        <f t="shared" si="4"/>
        <v>18034111.798221104</v>
      </c>
      <c r="U26" s="201">
        <f t="shared" si="4"/>
        <v>19282569.544070601</v>
      </c>
      <c r="V26" s="201">
        <f t="shared" si="4"/>
        <v>20531532.156902272</v>
      </c>
      <c r="W26" s="201">
        <f t="shared" si="4"/>
        <v>22289494.892610788</v>
      </c>
      <c r="X26" s="201">
        <f t="shared" si="4"/>
        <v>23352159.176782224</v>
      </c>
      <c r="Y26" s="201">
        <f t="shared" si="4"/>
        <v>24415356.60780507</v>
      </c>
      <c r="Z26" s="201">
        <f t="shared" si="4"/>
        <v>25559382.960038267</v>
      </c>
      <c r="AA26" s="201">
        <f t="shared" si="4"/>
        <v>27171806.187037338</v>
      </c>
      <c r="AB26" s="201">
        <f t="shared" si="4"/>
        <v>28900408.424839657</v>
      </c>
      <c r="AC26" s="201">
        <f t="shared" si="4"/>
        <v>30745199.995309949</v>
      </c>
      <c r="AD26" s="201">
        <f t="shared" si="4"/>
        <v>32590575.409547128</v>
      </c>
      <c r="AE26" s="201">
        <f t="shared" si="4"/>
        <v>34320929.371353589</v>
      </c>
      <c r="AF26" s="201">
        <f t="shared" si="4"/>
        <v>35936272.780768096</v>
      </c>
      <c r="AG26" s="201">
        <f t="shared" si="4"/>
        <v>37436616.73766347</v>
      </c>
      <c r="AH26" s="201">
        <f t="shared" si="4"/>
        <v>38937588.545410194</v>
      </c>
      <c r="AI26" s="201">
        <f t="shared" si="4"/>
        <v>41017281.714607202</v>
      </c>
      <c r="AJ26" s="201">
        <f t="shared" si="4"/>
        <v>42288309.966881089</v>
      </c>
      <c r="AK26" s="201">
        <f t="shared" si="4"/>
        <v>43560001.238754928</v>
      </c>
      <c r="AL26" s="201">
        <f t="shared" si="4"/>
        <v>44947985.685588054</v>
      </c>
    </row>
    <row r="28" spans="1:38" s="72" customFormat="1" ht="12.75" customHeight="1" x14ac:dyDescent="0.25">
      <c r="A28" s="46"/>
      <c r="B28" s="2" t="s">
        <v>390</v>
      </c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  <c r="AA28" s="2"/>
      <c r="AB28" s="2"/>
      <c r="AC28" s="2"/>
      <c r="AD28" s="2"/>
      <c r="AE28" s="2"/>
      <c r="AF28" s="2"/>
      <c r="AG28" s="2"/>
      <c r="AH28" s="2"/>
      <c r="AI28" s="2"/>
      <c r="AJ28" s="2"/>
      <c r="AK28" s="2"/>
      <c r="AL28" s="2"/>
    </row>
    <row r="29" spans="1:38" ht="15" customHeight="1" x14ac:dyDescent="0.25">
      <c r="A29" s="191"/>
      <c r="B29" s="191">
        <f>0</f>
        <v>0</v>
      </c>
      <c r="C29" s="160">
        <f>C22+('⚙️ ПАРАМЕТРЫ'!$C$41-'⚙️ ПАРАМЕТРЫ'!$C$46)</f>
        <v>62149.546821890632</v>
      </c>
      <c r="D29" s="160">
        <f>D22+('⚙️ ПАРАМЕТРЫ'!$C$41-'⚙️ ПАРАМЕТРЫ'!$C$46)</f>
        <v>694239.09364378115</v>
      </c>
      <c r="E29" s="160">
        <f>E22+('⚙️ ПАРАМЕТРЫ'!$C$41-'⚙️ ПАРАМЕТРЫ'!$C$46)</f>
        <v>1970608.6404656717</v>
      </c>
      <c r="F29" s="160">
        <f>F22+('⚙️ ПАРАМЕТРЫ'!$C$41-'⚙️ ПАРАМЕТРЫ'!$C$46)</f>
        <v>3246978.1872875621</v>
      </c>
      <c r="G29" s="160">
        <f>G22+('⚙️ ПАРАМЕТРЫ'!$C$41-'⚙️ ПАРАМЕТРЫ'!$C$46)</f>
        <v>4449007.7341094529</v>
      </c>
      <c r="H29" s="160">
        <f>H22+('⚙️ ПАРАМЕТРЫ'!$C$41-'⚙️ ПАРАМЕТРЫ'!$C$46)</f>
        <v>5551917.2809313433</v>
      </c>
      <c r="I29" s="160">
        <f>I22+('⚙️ ПАРАМЕТРЫ'!$C$41-'⚙️ ПАРАМЕТРЫ'!$C$46)</f>
        <v>6580486.8277532337</v>
      </c>
      <c r="J29" s="160">
        <f>J22+('⚙️ ПАРАМЕТРЫ'!$C$41-'⚙️ ПАРАМЕТРЫ'!$C$46)</f>
        <v>7609056.3745751241</v>
      </c>
      <c r="K29" s="160">
        <f>K22+('⚙️ ПАРАМЕТРЫ'!$C$41-'⚙️ ПАРАМЕТРЫ'!$C$46)</f>
        <v>9058885.9213970155</v>
      </c>
      <c r="L29" s="160">
        <f>L22+('⚙️ ПАРАМЕТРЫ'!$C$41-'⚙️ ПАРАМЕТРЫ'!$C$46)</f>
        <v>9913995.468218904</v>
      </c>
      <c r="M29" s="160">
        <f>M22+('⚙️ ПАРАМЕТРЫ'!$C$41-'⚙️ ПАРАМЕТРЫ'!$C$46)</f>
        <v>10769105.015040796</v>
      </c>
      <c r="N29" s="160">
        <f>N22+('⚙️ ПАРАМЕТРЫ'!$C$41-'⚙️ ПАРАМЕТРЫ'!$C$46)</f>
        <v>11698554.561862687</v>
      </c>
      <c r="O29" s="160">
        <f>O22+('⚙️ ПАРАМЕТРЫ'!$C$41-'⚙️ ПАРАМЕТРЫ'!$C$46)</f>
        <v>13026524.108684577</v>
      </c>
      <c r="P29" s="160">
        <f>P22+('⚙️ ПАРАМЕТРЫ'!$C$41-'⚙️ ПАРАМЕТРЫ'!$C$46)</f>
        <v>14461543.655506467</v>
      </c>
      <c r="Q29" s="160">
        <f>Q22+('⚙️ ПАРАМЕТРЫ'!$C$41-'⚙️ ПАРАМЕТРЫ'!$C$46)</f>
        <v>15976849.202328358</v>
      </c>
      <c r="R29" s="160">
        <f>R22+('⚙️ ПАРАМЕТРЫ'!$C$41-'⚙️ ПАРАМЕТРЫ'!$C$46)</f>
        <v>17492154.749150246</v>
      </c>
      <c r="S29" s="160">
        <f>S22+('⚙️ ПАРАМЕТРЫ'!$C$41-'⚙️ ПАРАМЕТРЫ'!$C$46)</f>
        <v>18927174.295972139</v>
      </c>
      <c r="T29" s="160">
        <f>T22+('⚙️ ПАРАМЕТРЫ'!$C$41-'⚙️ ПАРАМЕТРЫ'!$C$46)</f>
        <v>20255143.842794031</v>
      </c>
      <c r="U29" s="160">
        <f>U22+('⚙️ ПАРАМЕТРЫ'!$C$41-'⚙️ ПАРАМЕТРЫ'!$C$46)</f>
        <v>21476063.389615923</v>
      </c>
      <c r="V29" s="160">
        <f>V22+('⚙️ ПАРАМЕТРЫ'!$C$41-'⚙️ ПАРАМЕТРЫ'!$C$46)</f>
        <v>22696982.936437815</v>
      </c>
      <c r="W29" s="160">
        <f>W22+('⚙️ ПАРАМЕТРЫ'!$C$41-'⚙️ ПАРАМЕТРЫ'!$C$46)</f>
        <v>24426388.483259708</v>
      </c>
      <c r="X29" s="160">
        <f>X22+('⚙️ ПАРАМЕТРЫ'!$C$41-'⚙️ ПАРАМЕТРЫ'!$C$46)</f>
        <v>25459972.0300816</v>
      </c>
      <c r="Y29" s="160">
        <f>Y22+('⚙️ ПАРАМЕТРЫ'!$C$41-'⚙️ ПАРАМЕТРЫ'!$C$46)</f>
        <v>26493555.576903492</v>
      </c>
      <c r="Z29" s="160">
        <f>Z22+('⚙️ ПАРАМЕТРЫ'!$C$41-'⚙️ ПАРАМЕТРЫ'!$C$46)</f>
        <v>27607425.123725384</v>
      </c>
      <c r="AA29" s="160">
        <f>AA22+('⚙️ ПАРАМЕТРЫ'!$C$41-'⚙️ ПАРАМЕТРЫ'!$C$46)</f>
        <v>29189138.670547277</v>
      </c>
      <c r="AB29" s="160">
        <f>AB22+('⚙️ ПАРАМЕТРЫ'!$C$41-'⚙️ ПАРАМЕТРЫ'!$C$46)</f>
        <v>30886468.217369169</v>
      </c>
      <c r="AC29" s="160">
        <f>AC22+('⚙️ ПАРАМЕТРЫ'!$C$41-'⚙️ ПАРАМЕТРЫ'!$C$46)</f>
        <v>32699413.764191061</v>
      </c>
      <c r="AD29" s="160">
        <f>AD22+('⚙️ ПАРАМЕТРЫ'!$C$41-'⚙️ ПАРАМЕТРЫ'!$C$46)</f>
        <v>34512359.311012954</v>
      </c>
      <c r="AE29" s="160">
        <f>AE22+('⚙️ ПАРАМЕТРЫ'!$C$41-'⚙️ ПАРАМЕТРЫ'!$C$46)</f>
        <v>36209688.857834846</v>
      </c>
      <c r="AF29" s="160">
        <f>AF22+('⚙️ ПАРАМЕТРЫ'!$C$41-'⚙️ ПАРАМЕТРЫ'!$C$46)</f>
        <v>37791402.404656738</v>
      </c>
      <c r="AG29" s="160">
        <f>AG22+('⚙️ ПАРАМЕТРЫ'!$C$41-'⚙️ ПАРАМЕТРЫ'!$C$46)</f>
        <v>39257499.95147863</v>
      </c>
      <c r="AH29" s="160">
        <f>AH22+('⚙️ ПАРАМЕТРЫ'!$C$41-'⚙️ ПАРАМЕТРЫ'!$C$46)</f>
        <v>40723597.498300523</v>
      </c>
      <c r="AI29" s="160">
        <f>AI22+('⚙️ ПАРАМЕТРЫ'!$C$41-'⚙️ ПАРАМЕТРЫ'!$C$46)</f>
        <v>42767777.045122415</v>
      </c>
      <c r="AJ29" s="160">
        <f>AJ22+('⚙️ ПАРАМЕТРЫ'!$C$41-'⚙️ ПАРАМЕТРЫ'!$C$46)</f>
        <v>44002640.591944307</v>
      </c>
      <c r="AK29" s="160">
        <f>AK22+('⚙️ ПАРАМЕТРЫ'!$C$41-'⚙️ ПАРАМЕТРЫ'!$C$46)</f>
        <v>45237504.138766199</v>
      </c>
      <c r="AL29" s="160">
        <f>AL22+('⚙️ ПАРАМЕТРЫ'!$C$41-'⚙️ ПАРАМЕТРЫ'!$C$46)</f>
        <v>46587985.685588092</v>
      </c>
    </row>
    <row r="30" spans="1:38" ht="15" customHeight="1" x14ac:dyDescent="0.25">
      <c r="A30" s="193"/>
      <c r="B30" s="3" t="s">
        <v>391</v>
      </c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  <c r="AB30" s="3"/>
      <c r="AC30" s="3"/>
      <c r="AD30" s="3"/>
      <c r="AE30" s="3"/>
      <c r="AF30" s="3"/>
      <c r="AG30" s="3"/>
      <c r="AH30" s="3"/>
      <c r="AI30" s="3"/>
      <c r="AJ30" s="3"/>
      <c r="AK30" s="3"/>
      <c r="AL30" s="3"/>
    </row>
    <row r="31" spans="1:38" ht="18.75" customHeight="1" x14ac:dyDescent="0.25">
      <c r="A31" s="191"/>
      <c r="B31" s="191" t="s">
        <v>392</v>
      </c>
      <c r="C31" s="125">
        <f t="array" ref="C31">IFERROR(MATCH(1,(C26:AL26&gt;=0)*1,0),"&gt;36")</f>
        <v>4</v>
      </c>
      <c r="D31" s="3" t="s">
        <v>393</v>
      </c>
      <c r="E31" s="3"/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  <c r="AB31" s="3"/>
      <c r="AC31" s="3"/>
      <c r="AD31" s="3"/>
      <c r="AE31" s="3"/>
      <c r="AF31" s="3"/>
      <c r="AG31" s="3"/>
      <c r="AH31" s="3"/>
      <c r="AI31" s="3"/>
      <c r="AJ31" s="3"/>
      <c r="AK31" s="3"/>
      <c r="AL31" s="3"/>
    </row>
    <row r="33" spans="2:2" x14ac:dyDescent="0.25">
      <c r="B33" s="202" t="s">
        <v>394</v>
      </c>
    </row>
  </sheetData>
  <mergeCells count="14">
    <mergeCell ref="B24:D24"/>
    <mergeCell ref="B28:AL28"/>
    <mergeCell ref="B30:AL30"/>
    <mergeCell ref="D31:AL31"/>
    <mergeCell ref="B13:AL13"/>
    <mergeCell ref="B14:AL14"/>
    <mergeCell ref="B17:AL17"/>
    <mergeCell ref="B20:AL20"/>
    <mergeCell ref="B23:AL23"/>
    <mergeCell ref="A1:AL1"/>
    <mergeCell ref="A2:AL2"/>
    <mergeCell ref="B5:AL5"/>
    <mergeCell ref="B10:AL10"/>
    <mergeCell ref="D11:AL11"/>
  </mergeCells>
  <conditionalFormatting sqref="A21">
    <cfRule type="colorScale" priority="2">
      <colorScale>
        <cfvo type="min"/>
        <cfvo type="num" val="0"/>
        <cfvo type="max"/>
        <color rgb="FFFF6B6B"/>
        <color rgb="FFFFFFFF"/>
        <color rgb="FF00D6A0"/>
      </colorScale>
    </cfRule>
  </conditionalFormatting>
  <conditionalFormatting sqref="A22">
    <cfRule type="colorScale" priority="3">
      <colorScale>
        <cfvo type="min"/>
        <cfvo type="num" val="0"/>
        <cfvo type="max"/>
        <color rgb="FFFF6B6B"/>
        <color rgb="FFFFFFFF"/>
        <color rgb="FF00D6A0"/>
      </colorScale>
    </cfRule>
  </conditionalFormatting>
  <conditionalFormatting sqref="B21:AL21">
    <cfRule type="colorScale" priority="4">
      <colorScale>
        <cfvo type="min"/>
        <cfvo type="num" val="0"/>
        <cfvo type="max"/>
        <color rgb="FFFF6B6B"/>
        <color rgb="FFFFFFFF"/>
        <color rgb="FF00D6A0"/>
      </colorScale>
    </cfRule>
  </conditionalFormatting>
  <conditionalFormatting sqref="B22:AL22">
    <cfRule type="colorScale" priority="5">
      <colorScale>
        <cfvo type="min"/>
        <cfvo type="num" val="0"/>
        <cfvo type="max"/>
        <color rgb="FFFF6B6B"/>
        <color rgb="FFFFFFFF"/>
        <color rgb="FF00D6A0"/>
      </colorScale>
    </cfRule>
  </conditionalFormatting>
  <conditionalFormatting sqref="C29:AL29">
    <cfRule type="colorScale" priority="6">
      <colorScale>
        <cfvo type="min"/>
        <cfvo type="num" val="0"/>
        <cfvo type="max"/>
        <color rgb="FFFF6B6B"/>
        <color rgb="FFFFFFFF"/>
        <color rgb="FF00D6A0"/>
      </colorScale>
    </cfRule>
  </conditionalFormatting>
  <pageMargins left="0.75" right="0.75" top="1" bottom="1" header="0.511811023622047" footer="0.511811023622047"/>
  <pageSetup paperSize="9" orientation="portrait" horizontalDpi="300" verticalDpi="30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tabColor rgb="FF0D47A1"/>
  </sheetPr>
  <dimension ref="A1:E42"/>
  <sheetViews>
    <sheetView zoomScaleNormal="100" workbookViewId="0">
      <selection activeCell="B6" sqref="B6"/>
    </sheetView>
  </sheetViews>
  <sheetFormatPr defaultColWidth="8.6640625" defaultRowHeight="14.4" x14ac:dyDescent="0.3"/>
  <cols>
    <col min="1" max="1" width="7.5546875" customWidth="1"/>
    <col min="2" max="5" width="24.109375" customWidth="1"/>
  </cols>
  <sheetData>
    <row r="1" spans="1:5" ht="15" customHeight="1" x14ac:dyDescent="0.3">
      <c r="A1" s="34" t="s">
        <v>395</v>
      </c>
      <c r="B1" s="203"/>
      <c r="C1" s="203"/>
      <c r="D1" s="203"/>
      <c r="E1" s="203"/>
    </row>
    <row r="2" spans="1:5" x14ac:dyDescent="0.3">
      <c r="A2" s="36" t="s">
        <v>396</v>
      </c>
      <c r="B2" s="35"/>
      <c r="C2" s="35"/>
      <c r="D2" s="35"/>
      <c r="E2" s="35"/>
    </row>
    <row r="3" spans="1:5" x14ac:dyDescent="0.3">
      <c r="A3" s="37"/>
      <c r="B3" s="37"/>
      <c r="C3" s="37"/>
      <c r="D3" s="37"/>
      <c r="E3" s="37"/>
    </row>
    <row r="4" spans="1:5" x14ac:dyDescent="0.3">
      <c r="A4" s="100" t="s">
        <v>159</v>
      </c>
      <c r="B4" s="100" t="s">
        <v>397</v>
      </c>
      <c r="C4" s="100" t="s">
        <v>398</v>
      </c>
      <c r="D4" s="100" t="s">
        <v>399</v>
      </c>
      <c r="E4" s="100" t="s">
        <v>400</v>
      </c>
    </row>
    <row r="5" spans="1:5" x14ac:dyDescent="0.3">
      <c r="A5" s="204">
        <v>1</v>
      </c>
      <c r="B5" s="205">
        <f>IF(AND('⚙️ ПАРАМЕТРЫ'!$C$46&gt;0,1&lt;='⚙️ ПАРАМЕТРЫ'!$C$48),ABS(PMT('⚙️ ПАРАМЕТРЫ'!$C$47/12,'⚙️ ПАРАМЕТРЫ'!$C$48,-'⚙️ ПАРАМЕТРЫ'!$C$46)),0)</f>
        <v>38190.453178109492</v>
      </c>
      <c r="C5" s="205">
        <f>IF(AND('⚙️ ПАРАМЕТРЫ'!$C$46&gt;0,1&lt;='⚙️ ПАРАМЕТРЫ'!$C$48),ABS(IPMT('⚙️ ПАРАМЕТРЫ'!$C$47/12,1,'⚙️ ПАРАМЕТРЫ'!$C$48,-'⚙️ ПАРАМЕТРЫ'!$C$46)),0)</f>
        <v>18333.333333333332</v>
      </c>
      <c r="D5" s="205">
        <f>IF(AND('⚙️ ПАРАМЕТРЫ'!$C$46&gt;0,1&lt;='⚙️ ПАРАМЕТРЫ'!$C$48),ABS(PPMT('⚙️ ПАРАМЕТРЫ'!$C$47/12,1,'⚙️ ПАРАМЕТРЫ'!$C$48,-'⚙️ ПАРАМЕТРЫ'!$C$46)),0)</f>
        <v>19857.11984477616</v>
      </c>
      <c r="E5" s="205">
        <f>IF('⚙️ ПАРАМЕТРЫ'!$C$46&gt;0,'⚙️ ПАРАМЕТРЫ'!$C$46-D5,0)</f>
        <v>980142.88015522389</v>
      </c>
    </row>
    <row r="6" spans="1:5" x14ac:dyDescent="0.3">
      <c r="A6" s="204">
        <v>2</v>
      </c>
      <c r="B6" s="206">
        <f>IF(AND('⚙️ ПАРАМЕТРЫ'!$C$46&gt;0,2&lt;='⚙️ ПАРАМЕТРЫ'!$C$48),ABS(PMT('⚙️ ПАРАМЕТРЫ'!$C$47/12,'⚙️ ПАРАМЕТРЫ'!$C$48,-'⚙️ ПАРАМЕТРЫ'!$C$46)),0)</f>
        <v>38190.453178109492</v>
      </c>
      <c r="C6" s="206">
        <f>IF(AND('⚙️ ПАРАМЕТРЫ'!$C$46&gt;0,2&lt;='⚙️ ПАРАМЕТРЫ'!$C$48),ABS(IPMT('⚙️ ПАРАМЕТРЫ'!$C$47/12,2,'⚙️ ПАРАМЕТРЫ'!$C$48,-'⚙️ ПАРАМЕТРЫ'!$C$46)),0)</f>
        <v>17969.286136179104</v>
      </c>
      <c r="D6" s="206">
        <f>IF(AND('⚙️ ПАРАМЕТРЫ'!$C$46&gt;0,2&lt;='⚙️ ПАРАМЕТРЫ'!$C$48),ABS(PPMT('⚙️ ПАРАМЕТРЫ'!$C$47/12,2,'⚙️ ПАРАМЕТРЫ'!$C$48,-'⚙️ ПАРАМЕТРЫ'!$C$46)),0)</f>
        <v>20221.167041930388</v>
      </c>
      <c r="E6" s="206">
        <f>IF('⚙️ ПАРАМЕТРЫ'!$C$46&gt;0,E5-D6,0)</f>
        <v>959921.71311329352</v>
      </c>
    </row>
    <row r="7" spans="1:5" x14ac:dyDescent="0.3">
      <c r="A7" s="204">
        <v>3</v>
      </c>
      <c r="B7" s="205">
        <f>IF(AND('⚙️ ПАРАМЕТРЫ'!$C$46&gt;0,3&lt;='⚙️ ПАРАМЕТРЫ'!$C$48),ABS(PMT('⚙️ ПАРАМЕТРЫ'!$C$47/12,'⚙️ ПАРАМЕТРЫ'!$C$48,-'⚙️ ПАРАМЕТРЫ'!$C$46)),0)</f>
        <v>38190.453178109492</v>
      </c>
      <c r="C7" s="205">
        <f>IF(AND('⚙️ ПАРАМЕТРЫ'!$C$46&gt;0,3&lt;='⚙️ ПАРАМЕТРЫ'!$C$48),ABS(IPMT('⚙️ ПАРАМЕТРЫ'!$C$47/12,3,'⚙️ ПАРАМЕТРЫ'!$C$48,-'⚙️ ПАРАМЕТРЫ'!$C$46)),0)</f>
        <v>17598.56474041038</v>
      </c>
      <c r="D7" s="205">
        <f>IF(AND('⚙️ ПАРАМЕТРЫ'!$C$46&gt;0,3&lt;='⚙️ ПАРАМЕТРЫ'!$C$48),ABS(PPMT('⚙️ ПАРАМЕТРЫ'!$C$47/12,3,'⚙️ ПАРАМЕТРЫ'!$C$48,-'⚙️ ПАРАМЕТРЫ'!$C$46)),0)</f>
        <v>20591.888437699112</v>
      </c>
      <c r="E7" s="205">
        <f>IF('⚙️ ПАРАМЕТРЫ'!$C$46&gt;0,E6-D7,0)</f>
        <v>939329.82467559446</v>
      </c>
    </row>
    <row r="8" spans="1:5" x14ac:dyDescent="0.3">
      <c r="A8" s="204">
        <v>4</v>
      </c>
      <c r="B8" s="206">
        <f>IF(AND('⚙️ ПАРАМЕТРЫ'!$C$46&gt;0,4&lt;='⚙️ ПАРАМЕТРЫ'!$C$48),ABS(PMT('⚙️ ПАРАМЕТРЫ'!$C$47/12,'⚙️ ПАРАМЕТРЫ'!$C$48,-'⚙️ ПАРАМЕТРЫ'!$C$46)),0)</f>
        <v>38190.453178109492</v>
      </c>
      <c r="C8" s="206">
        <f>IF(AND('⚙️ ПАРАМЕТРЫ'!$C$46&gt;0,4&lt;='⚙️ ПАРАМЕТРЫ'!$C$48),ABS(IPMT('⚙️ ПАРАМЕТРЫ'!$C$47/12,4,'⚙️ ПАРАМЕТРЫ'!$C$48,-'⚙️ ПАРАМЕТРЫ'!$C$46)),0)</f>
        <v>17221.046785719227</v>
      </c>
      <c r="D8" s="206">
        <f>IF(AND('⚙️ ПАРАМЕТРЫ'!$C$46&gt;0,4&lt;='⚙️ ПАРАМЕТРЫ'!$C$48),ABS(PPMT('⚙️ ПАРАМЕТРЫ'!$C$47/12,4,'⚙️ ПАРАМЕТРЫ'!$C$48,-'⚙️ ПАРАМЕТРЫ'!$C$46)),0)</f>
        <v>20969.406392390265</v>
      </c>
      <c r="E8" s="206">
        <f>IF('⚙️ ПАРАМЕТРЫ'!$C$46&gt;0,E7-D8,0)</f>
        <v>918360.4182832042</v>
      </c>
    </row>
    <row r="9" spans="1:5" x14ac:dyDescent="0.3">
      <c r="A9" s="204">
        <v>5</v>
      </c>
      <c r="B9" s="205">
        <f>IF(AND('⚙️ ПАРАМЕТРЫ'!$C$46&gt;0,5&lt;='⚙️ ПАРАМЕТРЫ'!$C$48),ABS(PMT('⚙️ ПАРАМЕТРЫ'!$C$47/12,'⚙️ ПАРАМЕТРЫ'!$C$48,-'⚙️ ПАРАМЕТРЫ'!$C$46)),0)</f>
        <v>38190.453178109492</v>
      </c>
      <c r="C9" s="205">
        <f>IF(AND('⚙️ ПАРАМЕТРЫ'!$C$46&gt;0,5&lt;='⚙️ ПАРАМЕТРЫ'!$C$48),ABS(IPMT('⚙️ ПАРАМЕТРЫ'!$C$47/12,5,'⚙️ ПАРАМЕТРЫ'!$C$48,-'⚙️ ПАРАМЕТРЫ'!$C$46)),0)</f>
        <v>16836.607668525408</v>
      </c>
      <c r="D9" s="205">
        <f>IF(AND('⚙️ ПАРАМЕТРЫ'!$C$46&gt;0,5&lt;='⚙️ ПАРАМЕТРЫ'!$C$48),ABS(PPMT('⚙️ ПАРАМЕТРЫ'!$C$47/12,5,'⚙️ ПАРАМЕТРЫ'!$C$48,-'⚙️ ПАРАМЕТРЫ'!$C$46)),0)</f>
        <v>21353.845509584084</v>
      </c>
      <c r="E9" s="205">
        <f>IF('⚙️ ПАРАМЕТРЫ'!$C$46&gt;0,E8-D9,0)</f>
        <v>897006.57277362014</v>
      </c>
    </row>
    <row r="10" spans="1:5" x14ac:dyDescent="0.3">
      <c r="A10" s="204">
        <v>6</v>
      </c>
      <c r="B10" s="206">
        <f>IF(AND('⚙️ ПАРАМЕТРЫ'!$C$46&gt;0,6&lt;='⚙️ ПАРАМЕТРЫ'!$C$48),ABS(PMT('⚙️ ПАРАМЕТРЫ'!$C$47/12,'⚙️ ПАРАМЕТРЫ'!$C$48,-'⚙️ ПАРАМЕТРЫ'!$C$46)),0)</f>
        <v>38190.453178109492</v>
      </c>
      <c r="C10" s="206">
        <f>IF(AND('⚙️ ПАРАМЕТРЫ'!$C$46&gt;0,6&lt;='⚙️ ПАРАМЕТРЫ'!$C$48),ABS(IPMT('⚙️ ПАРАМЕТРЫ'!$C$47/12,6,'⚙️ ПАРАМЕТРЫ'!$C$48,-'⚙️ ПАРАМЕТРЫ'!$C$46)),0)</f>
        <v>16445.120500849698</v>
      </c>
      <c r="D10" s="206">
        <f>IF(AND('⚙️ ПАРАМЕТРЫ'!$C$46&gt;0,6&lt;='⚙️ ПАРАМЕТРЫ'!$C$48),ABS(PPMT('⚙️ ПАРАМЕТРЫ'!$C$47/12,6,'⚙️ ПАРАМЕТРЫ'!$C$48,-'⚙️ ПАРАМЕТРЫ'!$C$46)),0)</f>
        <v>21745.332677259797</v>
      </c>
      <c r="E10" s="206">
        <f>IF('⚙️ ПАРАМЕТРЫ'!$C$46&gt;0,E9-D10,0)</f>
        <v>875261.24009636033</v>
      </c>
    </row>
    <row r="11" spans="1:5" x14ac:dyDescent="0.3">
      <c r="A11" s="204">
        <v>7</v>
      </c>
      <c r="B11" s="205">
        <f>IF(AND('⚙️ ПАРАМЕТРЫ'!$C$46&gt;0,7&lt;='⚙️ ПАРАМЕТРЫ'!$C$48),ABS(PMT('⚙️ ПАРАМЕТРЫ'!$C$47/12,'⚙️ ПАРАМЕТРЫ'!$C$48,-'⚙️ ПАРАМЕТРЫ'!$C$46)),0)</f>
        <v>38190.453178109492</v>
      </c>
      <c r="C11" s="205">
        <f>IF(AND('⚙️ ПАРАМЕТРЫ'!$C$46&gt;0,7&lt;='⚙️ ПАРАМЕТРЫ'!$C$48),ABS(IPMT('⚙️ ПАРАМЕТРЫ'!$C$47/12,7,'⚙️ ПАРАМЕТРЫ'!$C$48,-'⚙️ ПАРАМЕТРЫ'!$C$46)),0)</f>
        <v>16046.456068433266</v>
      </c>
      <c r="D11" s="205">
        <f>IF(AND('⚙️ ПАРАМЕТРЫ'!$C$46&gt;0,7&lt;='⚙️ ПАРАМЕТРЫ'!$C$48),ABS(PPMT('⚙️ ПАРАМЕТРЫ'!$C$47/12,7,'⚙️ ПАРАМЕТРЫ'!$C$48,-'⚙️ ПАРАМЕТРЫ'!$C$46)),0)</f>
        <v>22143.997109676227</v>
      </c>
      <c r="E11" s="205">
        <f>IF('⚙️ ПАРАМЕТРЫ'!$C$46&gt;0,E10-D11,0)</f>
        <v>853117.24298668408</v>
      </c>
    </row>
    <row r="12" spans="1:5" x14ac:dyDescent="0.3">
      <c r="A12" s="204">
        <v>8</v>
      </c>
      <c r="B12" s="206">
        <f>IF(AND('⚙️ ПАРАМЕТРЫ'!$C$46&gt;0,8&lt;='⚙️ ПАРАМЕТРЫ'!$C$48),ABS(PMT('⚙️ ПАРАМЕТРЫ'!$C$47/12,'⚙️ ПАРАМЕТРЫ'!$C$48,-'⚙️ ПАРАМЕТРЫ'!$C$46)),0)</f>
        <v>38190.453178109492</v>
      </c>
      <c r="C12" s="206">
        <f>IF(AND('⚙️ ПАРАМЕТРЫ'!$C$46&gt;0,8&lt;='⚙️ ПАРАМЕТРЫ'!$C$48),ABS(IPMT('⚙️ ПАРАМЕТРЫ'!$C$47/12,8,'⚙️ ПАРАМЕТРЫ'!$C$48,-'⚙️ ПАРАМЕТРЫ'!$C$46)),0)</f>
        <v>15640.482788089204</v>
      </c>
      <c r="D12" s="206">
        <f>IF(AND('⚙️ ПАРАМЕТРЫ'!$C$46&gt;0,8&lt;='⚙️ ПАРАМЕТРЫ'!$C$48),ABS(PPMT('⚙️ ПАРАМЕТРЫ'!$C$47/12,8,'⚙️ ПАРАМЕТРЫ'!$C$48,-'⚙️ ПАРАМЕТРЫ'!$C$46)),0)</f>
        <v>22549.970390020291</v>
      </c>
      <c r="E12" s="206">
        <f>IF('⚙️ ПАРАМЕТРЫ'!$C$46&gt;0,E11-D12,0)</f>
        <v>830567.2725966638</v>
      </c>
    </row>
    <row r="13" spans="1:5" x14ac:dyDescent="0.3">
      <c r="A13" s="204">
        <v>9</v>
      </c>
      <c r="B13" s="205">
        <f>IF(AND('⚙️ ПАРАМЕТРЫ'!$C$46&gt;0,9&lt;='⚙️ ПАРАМЕТРЫ'!$C$48),ABS(PMT('⚙️ ПАРАМЕТРЫ'!$C$47/12,'⚙️ ПАРАМЕТРЫ'!$C$48,-'⚙️ ПАРАМЕТРЫ'!$C$46)),0)</f>
        <v>38190.453178109492</v>
      </c>
      <c r="C13" s="205">
        <f>IF(AND('⚙️ ПАРАМЕТРЫ'!$C$46&gt;0,9&lt;='⚙️ ПАРАМЕТРЫ'!$C$48),ABS(IPMT('⚙️ ПАРАМЕТРЫ'!$C$47/12,9,'⚙️ ПАРАМЕТРЫ'!$C$48,-'⚙️ ПАРАМЕТРЫ'!$C$46)),0)</f>
        <v>15227.066664272166</v>
      </c>
      <c r="D13" s="205">
        <f>IF(AND('⚙️ ПАРАМЕТРЫ'!$C$46&gt;0,9&lt;='⚙️ ПАРАМЕТРЫ'!$C$48),ABS(PPMT('⚙️ ПАРАМЕТРЫ'!$C$47/12,9,'⚙️ ПАРАМЕТРЫ'!$C$48,-'⚙️ ПАРАМЕТРЫ'!$C$46)),0)</f>
        <v>22963.386513837329</v>
      </c>
      <c r="E13" s="205">
        <f>IF('⚙️ ПАРАМЕТРЫ'!$C$46&gt;0,E12-D13,0)</f>
        <v>807603.88608282642</v>
      </c>
    </row>
    <row r="14" spans="1:5" x14ac:dyDescent="0.3">
      <c r="A14" s="204">
        <v>10</v>
      </c>
      <c r="B14" s="206">
        <f>IF(AND('⚙️ ПАРАМЕТРЫ'!$C$46&gt;0,10&lt;='⚙️ ПАРАМЕТРЫ'!$C$48),ABS(PMT('⚙️ ПАРАМЕТРЫ'!$C$47/12,'⚙️ ПАРАМЕТРЫ'!$C$48,-'⚙️ ПАРАМЕТРЫ'!$C$46)),0)</f>
        <v>38190.453178109492</v>
      </c>
      <c r="C14" s="206">
        <f>IF(AND('⚙️ ПАРАМЕТРЫ'!$C$46&gt;0,10&lt;='⚙️ ПАРАМЕТРЫ'!$C$48),ABS(IPMT('⚙️ ПАРАМЕТРЫ'!$C$47/12,10,'⚙️ ПАРАМЕТРЫ'!$C$48,-'⚙️ ПАРАМЕТРЫ'!$C$46)),0)</f>
        <v>14806.071244851815</v>
      </c>
      <c r="D14" s="206">
        <f>IF(AND('⚙️ ПАРАМЕТРЫ'!$C$46&gt;0,10&lt;='⚙️ ПАРАМЕТРЫ'!$C$48),ABS(PPMT('⚙️ ПАРАМЕТРЫ'!$C$47/12,10,'⚙️ ПАРАМЕТРЫ'!$C$48,-'⚙️ ПАРАМЕТРЫ'!$C$46)),0)</f>
        <v>23384.381933257679</v>
      </c>
      <c r="E14" s="206">
        <f>IF('⚙️ ПАРАМЕТРЫ'!$C$46&gt;0,E13-D14,0)</f>
        <v>784219.50414956873</v>
      </c>
    </row>
    <row r="15" spans="1:5" x14ac:dyDescent="0.3">
      <c r="A15" s="204">
        <v>11</v>
      </c>
      <c r="B15" s="205">
        <f>IF(AND('⚙️ ПАРАМЕТРЫ'!$C$46&gt;0,11&lt;='⚙️ ПАРАМЕТРЫ'!$C$48),ABS(PMT('⚙️ ПАРАМЕТРЫ'!$C$47/12,'⚙️ ПАРАМЕТРЫ'!$C$48,-'⚙️ ПАРАМЕТРЫ'!$C$46)),0)</f>
        <v>38190.453178109492</v>
      </c>
      <c r="C15" s="205">
        <f>IF(AND('⚙️ ПАРАМЕТРЫ'!$C$46&gt;0,11&lt;='⚙️ ПАРАМЕТРЫ'!$C$48),ABS(IPMT('⚙️ ПАРАМЕТРЫ'!$C$47/12,11,'⚙️ ПАРАМЕТРЫ'!$C$48,-'⚙️ ПАРАМЕТРЫ'!$C$46)),0)</f>
        <v>14377.357576075425</v>
      </c>
      <c r="D15" s="205">
        <f>IF(AND('⚙️ ПАРАМЕТРЫ'!$C$46&gt;0,11&lt;='⚙️ ПАРАМЕТРЫ'!$C$48),ABS(PPMT('⚙️ ПАРАМЕТРЫ'!$C$47/12,11,'⚙️ ПАРАМЕТРЫ'!$C$48,-'⚙️ ПАРАМЕТРЫ'!$C$46)),0)</f>
        <v>23813.095602034067</v>
      </c>
      <c r="E15" s="205">
        <f>IF('⚙️ ПАРАМЕТРЫ'!$C$46&gt;0,E14-D15,0)</f>
        <v>760406.40854753461</v>
      </c>
    </row>
    <row r="16" spans="1:5" x14ac:dyDescent="0.3">
      <c r="A16" s="204">
        <v>12</v>
      </c>
      <c r="B16" s="206">
        <f>IF(AND('⚙️ ПАРАМЕТРЫ'!$C$46&gt;0,12&lt;='⚙️ ПАРАМЕТРЫ'!$C$48),ABS(PMT('⚙️ ПАРАМЕТРЫ'!$C$47/12,'⚙️ ПАРАМЕТРЫ'!$C$48,-'⚙️ ПАРАМЕТРЫ'!$C$46)),0)</f>
        <v>38190.453178109492</v>
      </c>
      <c r="C16" s="206">
        <f>IF(AND('⚙️ ПАРАМЕТРЫ'!$C$46&gt;0,12&lt;='⚙️ ПАРАМЕТРЫ'!$C$48),ABS(IPMT('⚙️ ПАРАМЕТРЫ'!$C$47/12,12,'⚙️ ПАРАМЕТРЫ'!$C$48,-'⚙️ ПАРАМЕТРЫ'!$C$46)),0)</f>
        <v>13940.7841567048</v>
      </c>
      <c r="D16" s="206">
        <f>IF(AND('⚙️ ПАРАМЕТРЫ'!$C$46&gt;0,12&lt;='⚙️ ПАРАМЕТРЫ'!$C$48),ABS(PPMT('⚙️ ПАРАМЕТРЫ'!$C$47/12,12,'⚙️ ПАРАМЕТРЫ'!$C$48,-'⚙️ ПАРАМЕТРЫ'!$C$46)),0)</f>
        <v>24249.66902140469</v>
      </c>
      <c r="E16" s="206">
        <f>IF('⚙️ ПАРАМЕТРЫ'!$C$46&gt;0,E15-D16,0)</f>
        <v>736156.73952612991</v>
      </c>
    </row>
    <row r="17" spans="1:5" x14ac:dyDescent="0.3">
      <c r="A17" s="204">
        <v>13</v>
      </c>
      <c r="B17" s="205">
        <f>IF(AND('⚙️ ПАРАМЕТРЫ'!$C$46&gt;0,13&lt;='⚙️ ПАРАМЕТРЫ'!$C$48),ABS(PMT('⚙️ ПАРАМЕТРЫ'!$C$47/12,'⚙️ ПАРАМЕТРЫ'!$C$48,-'⚙️ ПАРАМЕТРЫ'!$C$46)),0)</f>
        <v>38190.453178109492</v>
      </c>
      <c r="C17" s="205">
        <f>IF(AND('⚙️ ПАРАМЕТРЫ'!$C$46&gt;0,13&lt;='⚙️ ПАРАМЕТРЫ'!$C$48),ABS(IPMT('⚙️ ПАРАМЕТРЫ'!$C$47/12,13,'⚙️ ПАРАМЕТРЫ'!$C$48,-'⚙️ ПАРАМЕТРЫ'!$C$46)),0)</f>
        <v>13496.206891312382</v>
      </c>
      <c r="D17" s="205">
        <f>IF(AND('⚙️ ПАРАМЕТРЫ'!$C$46&gt;0,13&lt;='⚙️ ПАРАМЕТРЫ'!$C$48),ABS(PPMT('⚙️ ПАРАМЕТРЫ'!$C$47/12,13,'⚙️ ПАРАМЕТРЫ'!$C$48,-'⚙️ ПАРАМЕТРЫ'!$C$46)),0)</f>
        <v>24694.246286797112</v>
      </c>
      <c r="E17" s="205">
        <f>IF('⚙️ ПАРАМЕТРЫ'!$C$46&gt;0,E16-D17,0)</f>
        <v>711462.49323933281</v>
      </c>
    </row>
    <row r="18" spans="1:5" x14ac:dyDescent="0.3">
      <c r="A18" s="204">
        <v>14</v>
      </c>
      <c r="B18" s="206">
        <f>IF(AND('⚙️ ПАРАМЕТРЫ'!$C$46&gt;0,14&lt;='⚙️ ПАРАМЕТРЫ'!$C$48),ABS(PMT('⚙️ ПАРАМЕТРЫ'!$C$47/12,'⚙️ ПАРАМЕТРЫ'!$C$48,-'⚙️ ПАРАМЕТРЫ'!$C$46)),0)</f>
        <v>38190.453178109492</v>
      </c>
      <c r="C18" s="206">
        <f>IF(AND('⚙️ ПАРАМЕТРЫ'!$C$46&gt;0,14&lt;='⚙️ ПАРАМЕТРЫ'!$C$48),ABS(IPMT('⚙️ ПАРАМЕТРЫ'!$C$47/12,14,'⚙️ ПАРАМЕТРЫ'!$C$48,-'⚙️ ПАРАМЕТРЫ'!$C$46)),0)</f>
        <v>13043.479042721101</v>
      </c>
      <c r="D18" s="206">
        <f>IF(AND('⚙️ ПАРАМЕТРЫ'!$C$46&gt;0,14&lt;='⚙️ ПАРАМЕТРЫ'!$C$48),ABS(PPMT('⚙️ ПАРАМЕТРЫ'!$C$47/12,14,'⚙️ ПАРАМЕТРЫ'!$C$48,-'⚙️ ПАРАМЕТРЫ'!$C$46)),0)</f>
        <v>25146.974135388395</v>
      </c>
      <c r="E18" s="206">
        <f>IF('⚙️ ПАРАМЕТРЫ'!$C$46&gt;0,E17-D18,0)</f>
        <v>686315.51910394442</v>
      </c>
    </row>
    <row r="19" spans="1:5" x14ac:dyDescent="0.3">
      <c r="A19" s="204">
        <v>15</v>
      </c>
      <c r="B19" s="205">
        <f>IF(AND('⚙️ ПАРАМЕТРЫ'!$C$46&gt;0,15&lt;='⚙️ ПАРАМЕТРЫ'!$C$48),ABS(PMT('⚙️ ПАРАМЕТРЫ'!$C$47/12,'⚙️ ПАРАМЕТРЫ'!$C$48,-'⚙️ ПАРАМЕТРЫ'!$C$46)),0)</f>
        <v>38190.453178109492</v>
      </c>
      <c r="C19" s="205">
        <f>IF(AND('⚙️ ПАРАМЕТРЫ'!$C$46&gt;0,15&lt;='⚙️ ПАРАМЕТРЫ'!$C$48),ABS(IPMT('⚙️ ПАРАМЕТРЫ'!$C$47/12,15,'⚙️ ПАРАМЕТРЫ'!$C$48,-'⚙️ ПАРАМЕТРЫ'!$C$46)),0)</f>
        <v>12582.451183572311</v>
      </c>
      <c r="D19" s="205">
        <f>IF(AND('⚙️ ПАРАМЕТРЫ'!$C$46&gt;0,15&lt;='⚙️ ПАРАМЕТРЫ'!$C$48),ABS(PPMT('⚙️ ПАРАМЕТРЫ'!$C$47/12,15,'⚙️ ПАРАМЕТРЫ'!$C$48,-'⚙️ ПАРАМЕТРЫ'!$C$46)),0)</f>
        <v>25608.001994537182</v>
      </c>
      <c r="E19" s="205">
        <f>IF('⚙️ ПАРАМЕТРЫ'!$C$46&gt;0,E18-D19,0)</f>
        <v>660707.51710940723</v>
      </c>
    </row>
    <row r="20" spans="1:5" x14ac:dyDescent="0.3">
      <c r="A20" s="204">
        <v>16</v>
      </c>
      <c r="B20" s="206">
        <f>IF(AND('⚙️ ПАРАМЕТРЫ'!$C$46&gt;0,16&lt;='⚙️ ПАРАМЕТРЫ'!$C$48),ABS(PMT('⚙️ ПАРАМЕТРЫ'!$C$47/12,'⚙️ ПАРАМЕТРЫ'!$C$48,-'⚙️ ПАРАМЕТРЫ'!$C$46)),0)</f>
        <v>38190.453178109492</v>
      </c>
      <c r="C20" s="206">
        <f>IF(AND('⚙️ ПАРАМЕТРЫ'!$C$46&gt;0,16&lt;='⚙️ ПАРАМЕТРЫ'!$C$48),ABS(IPMT('⚙️ ПАРАМЕТРЫ'!$C$47/12,16,'⚙️ ПАРАМЕТРЫ'!$C$48,-'⚙️ ПАРАМЕТРЫ'!$C$46)),0)</f>
        <v>12112.971147005799</v>
      </c>
      <c r="D20" s="206">
        <f>IF(AND('⚙️ ПАРАМЕТРЫ'!$C$46&gt;0,16&lt;='⚙️ ПАРАМЕТРЫ'!$C$48),ABS(PPMT('⚙️ ПАРАМЕТРЫ'!$C$47/12,16,'⚙️ ПАРАМЕТРЫ'!$C$48,-'⚙️ ПАРАМЕТРЫ'!$C$46)),0)</f>
        <v>26077.482031103696</v>
      </c>
      <c r="E20" s="206">
        <f>IF('⚙️ ПАРАМЕТРЫ'!$C$46&gt;0,E19-D20,0)</f>
        <v>634630.03507830354</v>
      </c>
    </row>
    <row r="21" spans="1:5" x14ac:dyDescent="0.3">
      <c r="A21" s="204">
        <v>17</v>
      </c>
      <c r="B21" s="205">
        <f>IF(AND('⚙️ ПАРАМЕТРЫ'!$C$46&gt;0,17&lt;='⚙️ ПАРАМЕТРЫ'!$C$48),ABS(PMT('⚙️ ПАРАМЕТРЫ'!$C$47/12,'⚙️ ПАРАМЕТРЫ'!$C$48,-'⚙️ ПАРАМЕТРЫ'!$C$46)),0)</f>
        <v>38190.453178109492</v>
      </c>
      <c r="C21" s="205">
        <f>IF(AND('⚙️ ПАРАМЕТРЫ'!$C$46&gt;0,17&lt;='⚙️ ПАРАМЕТРЫ'!$C$48),ABS(IPMT('⚙️ ПАРАМЕТРЫ'!$C$47/12,17,'⚙️ ПАРАМЕТРЫ'!$C$48,-'⚙️ ПАРАМЕТРЫ'!$C$46)),0)</f>
        <v>11634.883976435563</v>
      </c>
      <c r="D21" s="205">
        <f>IF(AND('⚙️ ПАРАМЕТРЫ'!$C$46&gt;0,17&lt;='⚙️ ПАРАМЕТРЫ'!$C$48),ABS(PPMT('⚙️ ПАРАМЕТРЫ'!$C$47/12,17,'⚙️ ПАРАМЕТРЫ'!$C$48,-'⚙️ ПАРАМЕТРЫ'!$C$46)),0)</f>
        <v>26555.56920167393</v>
      </c>
      <c r="E21" s="205">
        <f>IF('⚙️ ПАРАМЕТРЫ'!$C$46&gt;0,E20-D21,0)</f>
        <v>608074.46587662958</v>
      </c>
    </row>
    <row r="22" spans="1:5" x14ac:dyDescent="0.3">
      <c r="A22" s="204">
        <v>18</v>
      </c>
      <c r="B22" s="206">
        <f>IF(AND('⚙️ ПАРАМЕТРЫ'!$C$46&gt;0,18&lt;='⚙️ ПАРАМЕТРЫ'!$C$48),ABS(PMT('⚙️ ПАРАМЕТРЫ'!$C$47/12,'⚙️ ПАРАМЕТРЫ'!$C$48,-'⚙️ ПАРАМЕТРЫ'!$C$46)),0)</f>
        <v>38190.453178109492</v>
      </c>
      <c r="C22" s="206">
        <f>IF(AND('⚙️ ПАРАМЕТРЫ'!$C$46&gt;0,18&lt;='⚙️ ПАРАМЕТРЫ'!$C$48),ABS(IPMT('⚙️ ПАРАМЕТРЫ'!$C$47/12,18,'⚙️ ПАРАМЕТРЫ'!$C$48,-'⚙️ ПАРАМЕТРЫ'!$C$46)),0)</f>
        <v>11148.031874404876</v>
      </c>
      <c r="D22" s="206">
        <f>IF(AND('⚙️ ПАРАМЕТРЫ'!$C$46&gt;0,18&lt;='⚙️ ПАРАМЕТРЫ'!$C$48),ABS(PPMT('⚙️ ПАРАМЕТРЫ'!$C$47/12,18,'⚙️ ПАРАМЕТРЫ'!$C$48,-'⚙️ ПАРАМЕТРЫ'!$C$46)),0)</f>
        <v>27042.421303704621</v>
      </c>
      <c r="E22" s="206">
        <f>IF('⚙️ ПАРАМЕТРЫ'!$C$46&gt;0,E21-D22,0)</f>
        <v>581032.04457292496</v>
      </c>
    </row>
    <row r="23" spans="1:5" x14ac:dyDescent="0.3">
      <c r="A23" s="204">
        <v>19</v>
      </c>
      <c r="B23" s="205">
        <f>IF(AND('⚙️ ПАРАМЕТРЫ'!$C$46&gt;0,19&lt;='⚙️ ПАРАМЕТРЫ'!$C$48),ABS(PMT('⚙️ ПАРАМЕТРЫ'!$C$47/12,'⚙️ ПАРАМЕТРЫ'!$C$48,-'⚙️ ПАРАМЕТРЫ'!$C$46)),0)</f>
        <v>38190.453178109492</v>
      </c>
      <c r="C23" s="205">
        <f>IF(AND('⚙️ ПАРАМЕТРЫ'!$C$46&gt;0,19&lt;='⚙️ ПАРАМЕТРЫ'!$C$48),ABS(IPMT('⚙️ ПАРАМЕТРЫ'!$C$47/12,19,'⚙️ ПАРАМЕТРЫ'!$C$48,-'⚙️ ПАРАМЕТРЫ'!$C$46)),0)</f>
        <v>10652.254150503624</v>
      </c>
      <c r="D23" s="205">
        <f>IF(AND('⚙️ ПАРАМЕТРЫ'!$C$46&gt;0,19&lt;='⚙️ ПАРАМЕТРЫ'!$C$48),ABS(PPMT('⚙️ ПАРАМЕТРЫ'!$C$47/12,19,'⚙️ ПАРАМЕТРЫ'!$C$48,-'⚙️ ПАРАМЕТРЫ'!$C$46)),0)</f>
        <v>27538.199027605868</v>
      </c>
      <c r="E23" s="205">
        <f>IF('⚙️ ПАРАМЕТРЫ'!$C$46&gt;0,E22-D23,0)</f>
        <v>553493.84554531914</v>
      </c>
    </row>
    <row r="24" spans="1:5" x14ac:dyDescent="0.3">
      <c r="A24" s="204">
        <v>20</v>
      </c>
      <c r="B24" s="206">
        <f>IF(AND('⚙️ ПАРАМЕТРЫ'!$C$46&gt;0,20&lt;='⚙️ ПАРАМЕТРЫ'!$C$48),ABS(PMT('⚙️ ПАРАМЕТРЫ'!$C$47/12,'⚙️ ПАРАМЕТРЫ'!$C$48,-'⚙️ ПАРАМЕТРЫ'!$C$46)),0)</f>
        <v>38190.453178109492</v>
      </c>
      <c r="C24" s="206">
        <f>IF(AND('⚙️ ПАРАМЕТРЫ'!$C$46&gt;0,20&lt;='⚙️ ПАРАМЕТРЫ'!$C$48),ABS(IPMT('⚙️ ПАРАМЕТРЫ'!$C$47/12,20,'⚙️ ПАРАМЕТРЫ'!$C$48,-'⚙️ ПАРАМЕТРЫ'!$C$46)),0)</f>
        <v>10147.387168330852</v>
      </c>
      <c r="D24" s="206">
        <f>IF(AND('⚙️ ПАРАМЕТРЫ'!$C$46&gt;0,20&lt;='⚙️ ПАРАМЕТРЫ'!$C$48),ABS(PPMT('⚙️ ПАРАМЕТРЫ'!$C$47/12,20,'⚙️ ПАРАМЕТРЫ'!$C$48,-'⚙️ ПАРАМЕТРЫ'!$C$46)),0)</f>
        <v>28043.066009778642</v>
      </c>
      <c r="E24" s="206">
        <f>IF('⚙️ ПАРАМЕТРЫ'!$C$46&gt;0,E23-D24,0)</f>
        <v>525450.7795355405</v>
      </c>
    </row>
    <row r="25" spans="1:5" x14ac:dyDescent="0.3">
      <c r="A25" s="204">
        <v>21</v>
      </c>
      <c r="B25" s="205">
        <f>IF(AND('⚙️ ПАРАМЕТРЫ'!$C$46&gt;0,21&lt;='⚙️ ПАРАМЕТРЫ'!$C$48),ABS(PMT('⚙️ ПАРАМЕТРЫ'!$C$47/12,'⚙️ ПАРАМЕТРЫ'!$C$48,-'⚙️ ПАРАМЕТРЫ'!$C$46)),0)</f>
        <v>38190.453178109492</v>
      </c>
      <c r="C25" s="205">
        <f>IF(AND('⚙️ ПАРАМЕТРЫ'!$C$46&gt;0,21&lt;='⚙️ ПАРАМЕТРЫ'!$C$48),ABS(IPMT('⚙️ ПАРАМЕТРЫ'!$C$47/12,21,'⚙️ ПАРАМЕТРЫ'!$C$48,-'⚙️ ПАРАМЕТРЫ'!$C$46)),0)</f>
        <v>9633.2642914849075</v>
      </c>
      <c r="D25" s="205">
        <f>IF(AND('⚙️ ПАРАМЕТРЫ'!$C$46&gt;0,21&lt;='⚙️ ПАРАМЕТРЫ'!$C$48),ABS(PPMT('⚙️ ПАРАМЕТРЫ'!$C$47/12,21,'⚙️ ПАРАМЕТРЫ'!$C$48,-'⚙️ ПАРАМЕТРЫ'!$C$46)),0)</f>
        <v>28557.188886624586</v>
      </c>
      <c r="E25" s="205">
        <f>IF('⚙️ ПАРАМЕТРЫ'!$C$46&gt;0,E24-D25,0)</f>
        <v>496893.59064891591</v>
      </c>
    </row>
    <row r="26" spans="1:5" x14ac:dyDescent="0.3">
      <c r="A26" s="204">
        <v>22</v>
      </c>
      <c r="B26" s="206">
        <f>IF(AND('⚙️ ПАРАМЕТРЫ'!$C$46&gt;0,22&lt;='⚙️ ПАРАМЕТРЫ'!$C$48),ABS(PMT('⚙️ ПАРАМЕТРЫ'!$C$47/12,'⚙️ ПАРАМЕТРЫ'!$C$48,-'⚙️ ПАРАМЕТРЫ'!$C$46)),0)</f>
        <v>38190.453178109492</v>
      </c>
      <c r="C26" s="206">
        <f>IF(AND('⚙️ ПАРАМЕТРЫ'!$C$46&gt;0,22&lt;='⚙️ ПАРАМЕТРЫ'!$C$48),ABS(IPMT('⚙️ ПАРАМЕТРЫ'!$C$47/12,22,'⚙️ ПАРАМЕТРЫ'!$C$48,-'⚙️ ПАРАМЕТРЫ'!$C$46)),0)</f>
        <v>9109.7158285634578</v>
      </c>
      <c r="D26" s="206">
        <f>IF(AND('⚙️ ПАРАМЕТРЫ'!$C$46&gt;0,22&lt;='⚙️ ПАРАМЕТРЫ'!$C$48),ABS(PPMT('⚙️ ПАРАМЕТРЫ'!$C$47/12,22,'⚙️ ПАРАМЕТРЫ'!$C$48,-'⚙️ ПАРАМЕТРЫ'!$C$46)),0)</f>
        <v>29080.737349546034</v>
      </c>
      <c r="E26" s="206">
        <f>IF('⚙️ ПАРАМЕТРЫ'!$C$46&gt;0,E25-D26,0)</f>
        <v>467812.85329936986</v>
      </c>
    </row>
    <row r="27" spans="1:5" x14ac:dyDescent="0.3">
      <c r="A27" s="204">
        <v>23</v>
      </c>
      <c r="B27" s="205">
        <f>IF(AND('⚙️ ПАРАМЕТРЫ'!$C$46&gt;0,23&lt;='⚙️ ПАРАМЕТРЫ'!$C$48),ABS(PMT('⚙️ ПАРАМЕТРЫ'!$C$47/12,'⚙️ ПАРАМЕТРЫ'!$C$48,-'⚙️ ПАРАМЕТРЫ'!$C$46)),0)</f>
        <v>38190.453178109492</v>
      </c>
      <c r="C27" s="205">
        <f>IF(AND('⚙️ ПАРАМЕТРЫ'!$C$46&gt;0,23&lt;='⚙️ ПАРАМЕТРЫ'!$C$48),ABS(IPMT('⚙️ ПАРАМЕТРЫ'!$C$47/12,23,'⚙️ ПАРАМЕТРЫ'!$C$48,-'⚙️ ПАРАМЕТРЫ'!$C$46)),0)</f>
        <v>8576.5689771551115</v>
      </c>
      <c r="D27" s="205">
        <f>IF(AND('⚙️ ПАРАМЕТРЫ'!$C$46&gt;0,23&lt;='⚙️ ПАРАМЕТРЫ'!$C$48),ABS(PPMT('⚙️ ПАРАМЕТРЫ'!$C$47/12,23,'⚙️ ПАРАМЕТРЫ'!$C$48,-'⚙️ ПАРАМЕТРЫ'!$C$46)),0)</f>
        <v>29613.884200954381</v>
      </c>
      <c r="E27" s="205">
        <f>IF('⚙️ ПАРАМЕТРЫ'!$C$46&gt;0,E26-D27,0)</f>
        <v>438198.96909841546</v>
      </c>
    </row>
    <row r="28" spans="1:5" x14ac:dyDescent="0.3">
      <c r="A28" s="204">
        <v>24</v>
      </c>
      <c r="B28" s="206">
        <f>IF(AND('⚙️ ПАРАМЕТРЫ'!$C$46&gt;0,24&lt;='⚙️ ПАРАМЕТРЫ'!$C$48),ABS(PMT('⚙️ ПАРАМЕТРЫ'!$C$47/12,'⚙️ ПАРАМЕТРЫ'!$C$48,-'⚙️ ПАРАМЕТРЫ'!$C$46)),0)</f>
        <v>38190.453178109492</v>
      </c>
      <c r="C28" s="206">
        <f>IF(AND('⚙️ ПАРАМЕТРЫ'!$C$46&gt;0,24&lt;='⚙️ ПАРАМЕТРЫ'!$C$48),ABS(IPMT('⚙️ ПАРАМЕТРЫ'!$C$47/12,24,'⚙️ ПАРАМЕТРЫ'!$C$48,-'⚙️ ПАРАМЕТРЫ'!$C$46)),0)</f>
        <v>8033.6477668042835</v>
      </c>
      <c r="D28" s="206">
        <f>IF(AND('⚙️ ПАРАМЕТРЫ'!$C$46&gt;0,24&lt;='⚙️ ПАРАМЕТРЫ'!$C$48),ABS(PPMT('⚙️ ПАРАМЕТРЫ'!$C$47/12,24,'⚙️ ПАРАМЕТРЫ'!$C$48,-'⚙️ ПАРАМЕТРЫ'!$C$46)),0)</f>
        <v>30156.805411305209</v>
      </c>
      <c r="E28" s="206">
        <f>IF('⚙️ ПАРАМЕТРЫ'!$C$46&gt;0,E27-D28,0)</f>
        <v>408042.16368711024</v>
      </c>
    </row>
    <row r="29" spans="1:5" x14ac:dyDescent="0.3">
      <c r="A29" s="204">
        <v>25</v>
      </c>
      <c r="B29" s="205">
        <f>IF(AND('⚙️ ПАРАМЕТРЫ'!$C$46&gt;0,25&lt;='⚙️ ПАРАМЕТРЫ'!$C$48),ABS(PMT('⚙️ ПАРАМЕТРЫ'!$C$47/12,'⚙️ ПАРАМЕТРЫ'!$C$48,-'⚙️ ПАРАМЕТРЫ'!$C$46)),0)</f>
        <v>38190.453178109492</v>
      </c>
      <c r="C29" s="205">
        <f>IF(AND('⚙️ ПАРАМЕТРЫ'!$C$46&gt;0,25&lt;='⚙️ ПАРАМЕТРЫ'!$C$48),ABS(IPMT('⚙️ ПАРАМЕТРЫ'!$C$47/12,25,'⚙️ ПАРАМЕТРЫ'!$C$48,-'⚙️ ПАРАМЕТРЫ'!$C$46)),0)</f>
        <v>7480.7730009303541</v>
      </c>
      <c r="D29" s="205">
        <f>IF(AND('⚙️ ПАРАМЕТРЫ'!$C$46&gt;0,25&lt;='⚙️ ПАРАМЕТРЫ'!$C$48),ABS(PPMT('⚙️ ПАРАМЕТРЫ'!$C$47/12,25,'⚙️ ПАРАМЕТРЫ'!$C$48,-'⚙️ ПАРАМЕТРЫ'!$C$46)),0)</f>
        <v>30709.68017717914</v>
      </c>
      <c r="E29" s="205">
        <f>IF('⚙️ ПАРАМЕТРЫ'!$C$46&gt;0,E28-D29,0)</f>
        <v>377332.48350993107</v>
      </c>
    </row>
    <row r="30" spans="1:5" x14ac:dyDescent="0.3">
      <c r="A30" s="204">
        <v>26</v>
      </c>
      <c r="B30" s="206">
        <f>IF(AND('⚙️ ПАРАМЕТРЫ'!$C$46&gt;0,26&lt;='⚙️ ПАРАМЕТРЫ'!$C$48),ABS(PMT('⚙️ ПАРАМЕТРЫ'!$C$47/12,'⚙️ ПАРАМЕТРЫ'!$C$48,-'⚙️ ПАРАМЕТРЫ'!$C$46)),0)</f>
        <v>38190.453178109492</v>
      </c>
      <c r="C30" s="206">
        <f>IF(AND('⚙️ ПАРАМЕТРЫ'!$C$46&gt;0,26&lt;='⚙️ ПАРАМЕТРЫ'!$C$48),ABS(IPMT('⚙️ ПАРАМЕТРЫ'!$C$47/12,26,'⚙️ ПАРАМЕТРЫ'!$C$48,-'⚙️ ПАРАМЕТРЫ'!$C$46)),0)</f>
        <v>6917.7621976820701</v>
      </c>
      <c r="D30" s="206">
        <f>IF(AND('⚙️ ПАРАМЕТРЫ'!$C$46&gt;0,26&lt;='⚙️ ПАРАМЕТРЫ'!$C$48),ABS(PPMT('⚙️ ПАРАМЕТРЫ'!$C$47/12,26,'⚙️ ПАРАМЕТРЫ'!$C$48,-'⚙️ ПАРАМЕТРЫ'!$C$46)),0)</f>
        <v>31272.690980427426</v>
      </c>
      <c r="E30" s="206">
        <f>IF('⚙️ ПАРАМЕТРЫ'!$C$46&gt;0,E29-D30,0)</f>
        <v>346059.79252950364</v>
      </c>
    </row>
    <row r="31" spans="1:5" x14ac:dyDescent="0.3">
      <c r="A31" s="204">
        <v>27</v>
      </c>
      <c r="B31" s="205">
        <f>IF(AND('⚙️ ПАРАМЕТРЫ'!$C$46&gt;0,27&lt;='⚙️ ПАРАМЕТРЫ'!$C$48),ABS(PMT('⚙️ ПАРАМЕТРЫ'!$C$47/12,'⚙️ ПАРАМЕТРЫ'!$C$48,-'⚙️ ПАРАМЕТРЫ'!$C$46)),0)</f>
        <v>38190.453178109492</v>
      </c>
      <c r="C31" s="205">
        <f>IF(AND('⚙️ ПАРАМЕТРЫ'!$C$46&gt;0,27&lt;='⚙️ ПАРАМЕТРЫ'!$C$48),ABS(IPMT('⚙️ ПАРАМЕТРЫ'!$C$47/12,27,'⚙️ ПАРАМЕТРЫ'!$C$48,-'⚙️ ПАРАМЕТРЫ'!$C$46)),0)</f>
        <v>6344.4295297075669</v>
      </c>
      <c r="D31" s="205">
        <f>IF(AND('⚙️ ПАРАМЕТРЫ'!$C$46&gt;0,27&lt;='⚙️ ПАРАМЕТРЫ'!$C$48),ABS(PPMT('⚙️ ПАРАМЕТРЫ'!$C$47/12,27,'⚙️ ПАРАМЕТРЫ'!$C$48,-'⚙️ ПАРАМЕТРЫ'!$C$46)),0)</f>
        <v>31846.023648401922</v>
      </c>
      <c r="E31" s="205">
        <f>IF('⚙️ ПАРАМЕТРЫ'!$C$46&gt;0,E30-D31,0)</f>
        <v>314213.76888110174</v>
      </c>
    </row>
    <row r="32" spans="1:5" x14ac:dyDescent="0.3">
      <c r="A32" s="204">
        <v>28</v>
      </c>
      <c r="B32" s="206">
        <f>IF(AND('⚙️ ПАРАМЕТРЫ'!$C$46&gt;0,28&lt;='⚙️ ПАРАМЕТРЫ'!$C$48),ABS(PMT('⚙️ ПАРАМЕТРЫ'!$C$47/12,'⚙️ ПАРАМЕТРЫ'!$C$48,-'⚙️ ПАРАМЕТРЫ'!$C$46)),0)</f>
        <v>38190.453178109492</v>
      </c>
      <c r="C32" s="206">
        <f>IF(AND('⚙️ ПАРАМЕТРЫ'!$C$46&gt;0,28&lt;='⚙️ ПАРАМЕТРЫ'!$C$48),ABS(IPMT('⚙️ ПАРАМЕТРЫ'!$C$47/12,28,'⚙️ ПАРАМЕТРЫ'!$C$48,-'⚙️ ПАРАМЕТРЫ'!$C$46)),0)</f>
        <v>5760.5857628201993</v>
      </c>
      <c r="D32" s="206">
        <f>IF(AND('⚙️ ПАРАМЕТРЫ'!$C$46&gt;0,28&lt;='⚙️ ПАРАМЕТРЫ'!$C$48),ABS(PPMT('⚙️ ПАРАМЕТРЫ'!$C$47/12,28,'⚙️ ПАРАМЕТРЫ'!$C$48,-'⚙️ ПАРАМЕТРЫ'!$C$46)),0)</f>
        <v>32429.867415289296</v>
      </c>
      <c r="E32" s="206">
        <f>IF('⚙️ ПАРАМЕТРЫ'!$C$46&gt;0,E31-D32,0)</f>
        <v>281783.90146581247</v>
      </c>
    </row>
    <row r="33" spans="1:5" x14ac:dyDescent="0.3">
      <c r="A33" s="204">
        <v>29</v>
      </c>
      <c r="B33" s="205">
        <f>IF(AND('⚙️ ПАРАМЕТРЫ'!$C$46&gt;0,29&lt;='⚙️ ПАРАМЕТРЫ'!$C$48),ABS(PMT('⚙️ ПАРАМЕТРЫ'!$C$47/12,'⚙️ ПАРАМЕТРЫ'!$C$48,-'⚙️ ПАРАМЕТРЫ'!$C$46)),0)</f>
        <v>38190.453178109492</v>
      </c>
      <c r="C33" s="205">
        <f>IF(AND('⚙️ ПАРАМЕТРЫ'!$C$46&gt;0,29&lt;='⚙️ ПАРАМЕТРЫ'!$C$48),ABS(IPMT('⚙️ ПАРАМЕТРЫ'!$C$47/12,29,'⚙️ ПАРАМЕТРЫ'!$C$48,-'⚙️ ПАРАМЕТРЫ'!$C$46)),0)</f>
        <v>5166.0381935398955</v>
      </c>
      <c r="D33" s="205">
        <f>IF(AND('⚙️ ПАРАМЕТРЫ'!$C$46&gt;0,29&lt;='⚙️ ПАРАМЕТРЫ'!$C$48),ABS(PPMT('⚙️ ПАРАМЕТРЫ'!$C$47/12,29,'⚙️ ПАРАМЕТРЫ'!$C$48,-'⚙️ ПАРАМЕТРЫ'!$C$46)),0)</f>
        <v>33024.414984569601</v>
      </c>
      <c r="E33" s="205">
        <f>IF('⚙️ ПАРАМЕТРЫ'!$C$46&gt;0,E32-D33,0)</f>
        <v>248759.48648124287</v>
      </c>
    </row>
    <row r="34" spans="1:5" x14ac:dyDescent="0.3">
      <c r="A34" s="204">
        <v>30</v>
      </c>
      <c r="B34" s="206">
        <f>IF(AND('⚙️ ПАРАМЕТРЫ'!$C$46&gt;0,30&lt;='⚙️ ПАРАМЕТРЫ'!$C$48),ABS(PMT('⚙️ ПАРАМЕТРЫ'!$C$47/12,'⚙️ ПАРАМЕТРЫ'!$C$48,-'⚙️ ПАРАМЕТРЫ'!$C$46)),0)</f>
        <v>38190.453178109492</v>
      </c>
      <c r="C34" s="206">
        <f>IF(AND('⚙️ ПАРАМЕТРЫ'!$C$46&gt;0,30&lt;='⚙️ ПАРАМЕТРЫ'!$C$48),ABS(IPMT('⚙️ ПАРАМЕТРЫ'!$C$47/12,30,'⚙️ ПАРАМЕТРЫ'!$C$48,-'⚙️ ПАРАМЕТРЫ'!$C$46)),0)</f>
        <v>4560.5905854894518</v>
      </c>
      <c r="D34" s="206">
        <f>IF(AND('⚙️ ПАРАМЕТРЫ'!$C$46&gt;0,30&lt;='⚙️ ПАРАМЕТРЫ'!$C$48),ABS(PPMT('⚙️ ПАРАМЕТРЫ'!$C$47/12,30,'⚙️ ПАРАМЕТРЫ'!$C$48,-'⚙️ ПАРАМЕТРЫ'!$C$46)),0)</f>
        <v>33629.86259262004</v>
      </c>
      <c r="E34" s="206">
        <f>IF('⚙️ ПАРАМЕТРЫ'!$C$46&gt;0,E33-D34,0)</f>
        <v>215129.62388862282</v>
      </c>
    </row>
    <row r="35" spans="1:5" x14ac:dyDescent="0.3">
      <c r="A35" s="204">
        <v>31</v>
      </c>
      <c r="B35" s="205">
        <f>IF(AND('⚙️ ПАРАМЕТРЫ'!$C$46&gt;0,31&lt;='⚙️ ПАРАМЕТРЫ'!$C$48),ABS(PMT('⚙️ ПАРАМЕТРЫ'!$C$47/12,'⚙️ ПАРАМЕТРЫ'!$C$48,-'⚙️ ПАРАМЕТРЫ'!$C$46)),0)</f>
        <v>38190.453178109492</v>
      </c>
      <c r="C35" s="205">
        <f>IF(AND('⚙️ ПАРАМЕТРЫ'!$C$46&gt;0,31&lt;='⚙️ ПАРАМЕТРЫ'!$C$48),ABS(IPMT('⚙️ ПАРАМЕТРЫ'!$C$47/12,31,'⚙️ ПАРАМЕТРЫ'!$C$48,-'⚙️ ПАРАМЕТРЫ'!$C$46)),0)</f>
        <v>3944.0431046247522</v>
      </c>
      <c r="D35" s="205">
        <f>IF(AND('⚙️ ПАРАМЕТРЫ'!$C$46&gt;0,31&lt;='⚙️ ПАРАМЕТРЫ'!$C$48),ABS(PPMT('⚙️ ПАРАМЕТРЫ'!$C$47/12,31,'⚙️ ПАРАМЕТРЫ'!$C$48,-'⚙️ ПАРАМЕТРЫ'!$C$46)),0)</f>
        <v>34246.410073484738</v>
      </c>
      <c r="E35" s="205">
        <f>IF('⚙️ ПАРАМЕТРЫ'!$C$46&gt;0,E34-D35,0)</f>
        <v>180883.21381513809</v>
      </c>
    </row>
    <row r="36" spans="1:5" x14ac:dyDescent="0.3">
      <c r="A36" s="204">
        <v>32</v>
      </c>
      <c r="B36" s="206">
        <f>IF(AND('⚙️ ПАРАМЕТРЫ'!$C$46&gt;0,32&lt;='⚙️ ПАРАМЕТРЫ'!$C$48),ABS(PMT('⚙️ ПАРАМЕТРЫ'!$C$47/12,'⚙️ ПАРАМЕТРЫ'!$C$48,-'⚙️ ПАРАМЕТРЫ'!$C$46)),0)</f>
        <v>38190.453178109492</v>
      </c>
      <c r="C36" s="206">
        <f>IF(AND('⚙️ ПАРАМЕТРЫ'!$C$46&gt;0,32&lt;='⚙️ ПАРАМЕТРЫ'!$C$48),ABS(IPMT('⚙️ ПАРАМЕТРЫ'!$C$47/12,32,'⚙️ ПАРАМЕТРЫ'!$C$48,-'⚙️ ПАРАМЕТРЫ'!$C$46)),0)</f>
        <v>3316.1922532775325</v>
      </c>
      <c r="D36" s="206">
        <f>IF(AND('⚙️ ПАРАМЕТРЫ'!$C$46&gt;0,32&lt;='⚙️ ПАРАМЕТРЫ'!$C$48),ABS(PPMT('⚙️ ПАРАМЕТРЫ'!$C$47/12,32,'⚙️ ПАРАМЕТРЫ'!$C$48,-'⚙️ ПАРАМЕТРЫ'!$C$46)),0)</f>
        <v>34874.260924831964</v>
      </c>
      <c r="E36" s="206">
        <f>IF('⚙️ ПАРАМЕТРЫ'!$C$46&gt;0,E35-D36,0)</f>
        <v>146008.95289030613</v>
      </c>
    </row>
    <row r="37" spans="1:5" x14ac:dyDescent="0.3">
      <c r="A37" s="204">
        <v>33</v>
      </c>
      <c r="B37" s="205">
        <f>IF(AND('⚙️ ПАРАМЕТРЫ'!$C$46&gt;0,33&lt;='⚙️ ПАРАМЕТРЫ'!$C$48),ABS(PMT('⚙️ ПАРАМЕТРЫ'!$C$47/12,'⚙️ ПАРАМЕТРЫ'!$C$48,-'⚙️ ПАРАМЕТРЫ'!$C$46)),0)</f>
        <v>38190.453178109492</v>
      </c>
      <c r="C37" s="205">
        <f>IF(AND('⚙️ ПАРАМЕТРЫ'!$C$46&gt;0,33&lt;='⚙️ ПАРАМЕТРЫ'!$C$48),ABS(IPMT('⚙️ ПАРАМЕТРЫ'!$C$47/12,33,'⚙️ ПАРАМЕТРЫ'!$C$48,-'⚙️ ПАРАМЕТРЫ'!$C$46)),0)</f>
        <v>2676.8308029889463</v>
      </c>
      <c r="D37" s="205">
        <f>IF(AND('⚙️ ПАРАМЕТРЫ'!$C$46&gt;0,33&lt;='⚙️ ПАРАМЕТРЫ'!$C$48),ABS(PPMT('⚙️ ПАРАМЕТРЫ'!$C$47/12,33,'⚙️ ПАРАМЕТРЫ'!$C$48,-'⚙️ ПАРАМЕТРЫ'!$C$46)),0)</f>
        <v>35513.622375120547</v>
      </c>
      <c r="E37" s="205">
        <f>IF('⚙️ ПАРАМЕТРЫ'!$C$46&gt;0,E36-D37,0)</f>
        <v>110495.33051518557</v>
      </c>
    </row>
    <row r="38" spans="1:5" x14ac:dyDescent="0.3">
      <c r="A38" s="204">
        <v>34</v>
      </c>
      <c r="B38" s="206">
        <f>IF(AND('⚙️ ПАРАМЕТРЫ'!$C$46&gt;0,34&lt;='⚙️ ПАРАМЕТРЫ'!$C$48),ABS(PMT('⚙️ ПАРАМЕТРЫ'!$C$47/12,'⚙️ ПАРАМЕТРЫ'!$C$48,-'⚙️ ПАРАМЕТРЫ'!$C$46)),0)</f>
        <v>38190.453178109492</v>
      </c>
      <c r="C38" s="206">
        <f>IF(AND('⚙️ ПАРАМЕТРЫ'!$C$46&gt;0,34&lt;='⚙️ ПАРАМЕТРЫ'!$C$48),ABS(IPMT('⚙️ ПАРАМЕТРЫ'!$C$47/12,34,'⚙️ ПАРАМЕТРЫ'!$C$48,-'⚙️ ПАРАМЕТРЫ'!$C$46)),0)</f>
        <v>2025.747726111736</v>
      </c>
      <c r="D38" s="206">
        <f>IF(AND('⚙️ ПАРАМЕТРЫ'!$C$46&gt;0,34&lt;='⚙️ ПАРАМЕТРЫ'!$C$48),ABS(PPMT('⚙️ ПАРАМЕТРЫ'!$C$47/12,34,'⚙️ ПАРАМЕТРЫ'!$C$48,-'⚙️ ПАРАМЕТРЫ'!$C$46)),0)</f>
        <v>36164.705451997754</v>
      </c>
      <c r="E38" s="206">
        <f>IF('⚙️ ПАРАМЕТРЫ'!$C$46&gt;0,E37-D38,0)</f>
        <v>74330.625063187821</v>
      </c>
    </row>
    <row r="39" spans="1:5" x14ac:dyDescent="0.3">
      <c r="A39" s="204">
        <v>35</v>
      </c>
      <c r="B39" s="205">
        <f>IF(AND('⚙️ ПАРАМЕТРЫ'!$C$46&gt;0,35&lt;='⚙️ ПАРАМЕТРЫ'!$C$48),ABS(PMT('⚙️ ПАРАМЕТРЫ'!$C$47/12,'⚙️ ПАРАМЕТРЫ'!$C$48,-'⚙️ ПАРАМЕТРЫ'!$C$46)),0)</f>
        <v>38190.453178109492</v>
      </c>
      <c r="C39" s="205">
        <f>IF(AND('⚙️ ПАРАМЕТРЫ'!$C$46&gt;0,35&lt;='⚙️ ПАРАМЕТРЫ'!$C$48),ABS(IPMT('⚙️ ПАРАМЕТРЫ'!$C$47/12,35,'⚙️ ПАРАМЕТРЫ'!$C$48,-'⚙️ ПАРАМЕТРЫ'!$C$46)),0)</f>
        <v>1362.7281261584442</v>
      </c>
      <c r="D39" s="205">
        <f>IF(AND('⚙️ ПАРАМЕТРЫ'!$C$46&gt;0,35&lt;='⚙️ ПАРАМЕТРЫ'!$C$48),ABS(PPMT('⚙️ ПАРАМЕТРЫ'!$C$47/12,35,'⚙️ ПАРАМЕТРЫ'!$C$48,-'⚙️ ПАРАМЕТРЫ'!$C$46)),0)</f>
        <v>36827.725051951049</v>
      </c>
      <c r="E39" s="205">
        <f>IF('⚙️ ПАРАМЕТРЫ'!$C$46&gt;0,E38-D39,0)</f>
        <v>37502.900011236772</v>
      </c>
    </row>
    <row r="40" spans="1:5" x14ac:dyDescent="0.3">
      <c r="A40" s="204">
        <v>36</v>
      </c>
      <c r="B40" s="206">
        <f>IF(AND('⚙️ ПАРАМЕТРЫ'!$C$46&gt;0,36&lt;='⚙️ ПАРАМЕТРЫ'!$C$48),ABS(PMT('⚙️ ПАРАМЕТРЫ'!$C$47/12,'⚙️ ПАРАМЕТРЫ'!$C$48,-'⚙️ ПАРАМЕТРЫ'!$C$46)),0)</f>
        <v>38190.453178109492</v>
      </c>
      <c r="C40" s="206">
        <f>IF(AND('⚙️ ПАРАМЕТРЫ'!$C$46&gt;0,36&lt;='⚙️ ПАРАМЕТРЫ'!$C$48),ABS(IPMT('⚙️ ПАРАМЕТРЫ'!$C$47/12,36,'⚙️ ПАРАМЕТРЫ'!$C$48,-'⚙️ ПАРАМЕТРЫ'!$C$46)),0)</f>
        <v>687.55316687267486</v>
      </c>
      <c r="D40" s="206">
        <f>IF(AND('⚙️ ПАРАМЕТРЫ'!$C$46&gt;0,36&lt;='⚙️ ПАРАМЕТРЫ'!$C$48),ABS(PPMT('⚙️ ПАРАМЕТРЫ'!$C$47/12,36,'⚙️ ПАРАМЕТРЫ'!$C$48,-'⚙️ ПАРАМЕТРЫ'!$C$46)),0)</f>
        <v>37502.900011236816</v>
      </c>
      <c r="E40" s="206">
        <f>IF('⚙️ ПАРАМЕТРЫ'!$C$46&gt;0,E39-D40,0)</f>
        <v>-4.3655745685100555E-11</v>
      </c>
    </row>
    <row r="41" spans="1:5" x14ac:dyDescent="0.3">
      <c r="A41" s="37"/>
      <c r="B41" s="37"/>
      <c r="C41" s="37"/>
      <c r="D41" s="37"/>
      <c r="E41" s="37"/>
    </row>
    <row r="42" spans="1:5" x14ac:dyDescent="0.3">
      <c r="A42" s="44"/>
      <c r="B42" s="37"/>
      <c r="C42" s="37"/>
      <c r="D42" s="37"/>
      <c r="E42" s="37"/>
    </row>
  </sheetData>
  <pageMargins left="0.7" right="0.7" top="0.75" bottom="0.75" header="0.511811023622047" footer="0.511811023622047"/>
  <pageSetup paperSize="9" orientation="portrait" horizontalDpi="300" verticalDpi="300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tabColor rgb="FF4A148C"/>
  </sheetPr>
  <dimension ref="A1:N27"/>
  <sheetViews>
    <sheetView zoomScaleNormal="100" workbookViewId="0">
      <selection activeCell="D23" sqref="D23"/>
    </sheetView>
  </sheetViews>
  <sheetFormatPr defaultColWidth="8.6640625" defaultRowHeight="12" x14ac:dyDescent="0.25"/>
  <cols>
    <col min="1" max="1" width="3" style="32" customWidth="1"/>
    <col min="2" max="2" width="37.6640625" style="32" customWidth="1"/>
    <col min="3" max="14" width="16" style="32" customWidth="1"/>
    <col min="15" max="16384" width="8.6640625" style="32"/>
  </cols>
  <sheetData>
    <row r="1" spans="1:14" ht="27.75" customHeight="1" x14ac:dyDescent="0.25">
      <c r="A1" s="320" t="s">
        <v>401</v>
      </c>
      <c r="B1" s="320"/>
      <c r="C1" s="320"/>
      <c r="D1" s="320"/>
      <c r="E1" s="320"/>
      <c r="F1" s="320"/>
      <c r="G1" s="320"/>
      <c r="H1" s="320"/>
      <c r="I1" s="320"/>
      <c r="J1" s="320"/>
      <c r="K1" s="320"/>
      <c r="L1" s="320"/>
      <c r="M1" s="320"/>
      <c r="N1" s="320"/>
    </row>
    <row r="2" spans="1:14" ht="15" customHeight="1" x14ac:dyDescent="0.25">
      <c r="A2" s="301" t="s">
        <v>402</v>
      </c>
      <c r="B2" s="301"/>
      <c r="C2" s="301"/>
      <c r="D2" s="301"/>
      <c r="E2" s="301"/>
      <c r="F2" s="301"/>
      <c r="G2" s="301"/>
      <c r="H2" s="301"/>
      <c r="I2" s="301"/>
      <c r="J2" s="301"/>
      <c r="K2" s="301"/>
      <c r="L2" s="301"/>
      <c r="M2" s="301"/>
      <c r="N2" s="301"/>
    </row>
    <row r="4" spans="1:14" s="72" customFormat="1" ht="12.75" customHeight="1" x14ac:dyDescent="0.25">
      <c r="A4" s="47"/>
      <c r="B4" s="47" t="s">
        <v>403</v>
      </c>
      <c r="C4" s="47" t="s">
        <v>404</v>
      </c>
      <c r="D4" s="47" t="s">
        <v>405</v>
      </c>
      <c r="E4" s="47" t="s">
        <v>406</v>
      </c>
      <c r="F4" s="47" t="s">
        <v>407</v>
      </c>
      <c r="G4" s="47" t="s">
        <v>408</v>
      </c>
      <c r="H4" s="47" t="s">
        <v>409</v>
      </c>
      <c r="I4" s="47" t="s">
        <v>410</v>
      </c>
      <c r="J4" s="47" t="s">
        <v>411</v>
      </c>
      <c r="K4" s="47" t="s">
        <v>412</v>
      </c>
      <c r="L4" s="47" t="s">
        <v>413</v>
      </c>
      <c r="M4" s="47" t="s">
        <v>414</v>
      </c>
      <c r="N4" s="47" t="s">
        <v>415</v>
      </c>
    </row>
    <row r="5" spans="1:14" s="72" customFormat="1" ht="12.75" customHeight="1" x14ac:dyDescent="0.25">
      <c r="A5" s="46"/>
      <c r="B5" s="2" t="s">
        <v>416</v>
      </c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</row>
    <row r="6" spans="1:14" s="72" customFormat="1" ht="15" customHeight="1" x14ac:dyDescent="0.25">
      <c r="A6" s="207"/>
      <c r="B6" s="207" t="s">
        <v>417</v>
      </c>
      <c r="C6" s="208">
        <f>MAX('⚙️ ПАРАМЕТРЫ'!$C$37-'⚙️ ПАРАМЕТРЫ'!$C$42*3,0)</f>
        <v>1446429</v>
      </c>
      <c r="D6" s="208">
        <f>MAX('⚙️ ПАРАМЕТРЫ'!$C$37-'⚙️ ПАРАМЕТРЫ'!$C$42*6,0)</f>
        <v>1392858</v>
      </c>
      <c r="E6" s="208">
        <f>MAX('⚙️ ПАРАМЕТРЫ'!$C$37-'⚙️ ПАРАМЕТРЫ'!$C$42*9,0)</f>
        <v>1339287</v>
      </c>
      <c r="F6" s="208">
        <f>MAX('⚙️ ПАРАМЕТРЫ'!$C$37-'⚙️ ПАРАМЕТРЫ'!$C$42*12,0)</f>
        <v>1285716</v>
      </c>
      <c r="G6" s="208">
        <f>MAX('⚙️ ПАРАМЕТРЫ'!$C$37-'⚙️ ПАРАМЕТРЫ'!$C$42*15,0)</f>
        <v>1232145</v>
      </c>
      <c r="H6" s="208">
        <f>MAX('⚙️ ПАРАМЕТРЫ'!$C$37-'⚙️ ПАРАМЕТРЫ'!$C$42*18,0)</f>
        <v>1178574</v>
      </c>
      <c r="I6" s="208">
        <f>MAX('⚙️ ПАРАМЕТРЫ'!$C$37-'⚙️ ПАРАМЕТРЫ'!$C$42*21,0)</f>
        <v>1125003</v>
      </c>
      <c r="J6" s="208">
        <f>MAX('⚙️ ПАРАМЕТРЫ'!$C$37-'⚙️ ПАРАМЕТРЫ'!$C$42*24,0)</f>
        <v>1071432</v>
      </c>
      <c r="K6" s="208">
        <f>MAX('⚙️ ПАРАМЕТРЫ'!$C$37-'⚙️ ПАРАМЕТРЫ'!$C$42*27,0)</f>
        <v>1017861</v>
      </c>
      <c r="L6" s="208">
        <f>MAX('⚙️ ПАРАМЕТРЫ'!$C$37-'⚙️ ПАРАМЕТРЫ'!$C$42*30,0)</f>
        <v>964290</v>
      </c>
      <c r="M6" s="208">
        <f>MAX('⚙️ ПАРАМЕТРЫ'!$C$37-'⚙️ ПАРАМЕТРЫ'!$C$42*33,0)</f>
        <v>910719</v>
      </c>
      <c r="N6" s="208">
        <f>MAX('⚙️ ПАРАМЕТРЫ'!$C$37-'⚙️ ПАРАМЕТРЫ'!$C$42*36,0)</f>
        <v>857148</v>
      </c>
    </row>
    <row r="7" spans="1:14" ht="15" customHeight="1" x14ac:dyDescent="0.25">
      <c r="A7" s="193"/>
      <c r="B7" s="3" t="s">
        <v>418</v>
      </c>
      <c r="C7" s="3"/>
      <c r="D7" s="3"/>
      <c r="E7" s="3"/>
      <c r="F7" s="3"/>
      <c r="G7" s="3"/>
      <c r="H7" s="3"/>
      <c r="I7" s="3"/>
      <c r="J7" s="3"/>
      <c r="K7" s="3"/>
      <c r="L7" s="3"/>
      <c r="M7" s="3"/>
      <c r="N7" s="3"/>
    </row>
    <row r="8" spans="1:14" ht="15" customHeight="1" x14ac:dyDescent="0.25">
      <c r="A8" s="193"/>
      <c r="B8" s="193" t="s">
        <v>130</v>
      </c>
      <c r="C8" s="199">
        <f>'⚙️ ПАРАМЕТРЫ'!$C$23*'⚙️ ПАРАМЕТРЫ'!$C$38</f>
        <v>140000</v>
      </c>
      <c r="D8" s="209">
        <f>'⚙️ ПАРАМЕТРЫ'!$C$23*'⚙️ ПАРАМЕТРЫ'!$C$38</f>
        <v>140000</v>
      </c>
      <c r="E8" s="209">
        <f>'⚙️ ПАРАМЕТРЫ'!$C$23*'⚙️ ПАРАМЕТРЫ'!$C$38</f>
        <v>140000</v>
      </c>
      <c r="F8" s="209">
        <f>'⚙️ ПАРАМЕТРЫ'!$C$23*'⚙️ ПАРАМЕТРЫ'!$C$38</f>
        <v>140000</v>
      </c>
      <c r="G8" s="209">
        <f>'⚙️ ПАРАМЕТРЫ'!$C$23*'⚙️ ПАРАМЕТРЫ'!$C$38</f>
        <v>140000</v>
      </c>
      <c r="H8" s="209">
        <f>'⚙️ ПАРАМЕТРЫ'!$C$23*'⚙️ ПАРАМЕТРЫ'!$C$38</f>
        <v>140000</v>
      </c>
      <c r="I8" s="209">
        <f>'⚙️ ПАРАМЕТРЫ'!$C$23*'⚙️ ПАРАМЕТРЫ'!$C$38</f>
        <v>140000</v>
      </c>
      <c r="J8" s="209">
        <f>'⚙️ ПАРАМЕТРЫ'!$C$23*'⚙️ ПАРАМЕТРЫ'!$C$38</f>
        <v>140000</v>
      </c>
      <c r="K8" s="209">
        <f>'⚙️ ПАРАМЕТРЫ'!$C$23*'⚙️ ПАРАМЕТРЫ'!$C$38</f>
        <v>140000</v>
      </c>
      <c r="L8" s="209">
        <f>'⚙️ ПАРАМЕТРЫ'!$C$23*'⚙️ ПАРАМЕТРЫ'!$C$38</f>
        <v>140000</v>
      </c>
      <c r="M8" s="209">
        <f>'⚙️ ПАРАМЕТРЫ'!$C$23*'⚙️ ПАРАМЕТРЫ'!$C$38</f>
        <v>140000</v>
      </c>
      <c r="N8" s="209">
        <f>'⚙️ ПАРАМЕТРЫ'!$C$23*'⚙️ ПАРАМЕТРЫ'!$C$38</f>
        <v>140000</v>
      </c>
    </row>
    <row r="9" spans="1:14" ht="25.5" customHeight="1" x14ac:dyDescent="0.25">
      <c r="A9" s="210"/>
      <c r="B9" s="210" t="s">
        <v>419</v>
      </c>
      <c r="C9" s="193"/>
      <c r="D9" s="192"/>
      <c r="E9" s="192"/>
      <c r="F9" s="192"/>
      <c r="G9" s="192"/>
      <c r="H9" s="192"/>
      <c r="I9" s="192"/>
      <c r="J9" s="192"/>
      <c r="K9" s="192"/>
      <c r="L9" s="192"/>
      <c r="M9" s="192"/>
      <c r="N9" s="192"/>
    </row>
    <row r="10" spans="1:14" ht="15" customHeight="1" x14ac:dyDescent="0.25">
      <c r="A10" s="193"/>
      <c r="B10" s="193" t="s">
        <v>420</v>
      </c>
      <c r="C10" s="199">
        <f>'⚙️ ПАРАМЕТРЫ'!$C$39</f>
        <v>1000000</v>
      </c>
      <c r="D10" s="209">
        <f>'⚙️ ПАРАМЕТРЫ'!$C$39</f>
        <v>1000000</v>
      </c>
      <c r="E10" s="209">
        <f>'⚙️ ПАРАМЕТРЫ'!$C$39</f>
        <v>1000000</v>
      </c>
      <c r="F10" s="209">
        <f>'⚙️ ПАРАМЕТРЫ'!$C$39</f>
        <v>1000000</v>
      </c>
      <c r="G10" s="209">
        <f>'⚙️ ПАРАМЕТРЫ'!$C$39</f>
        <v>1000000</v>
      </c>
      <c r="H10" s="209">
        <f>'⚙️ ПАРАМЕТРЫ'!$C$39</f>
        <v>1000000</v>
      </c>
      <c r="I10" s="209">
        <f>'⚙️ ПАРАМЕТРЫ'!$C$39</f>
        <v>1000000</v>
      </c>
      <c r="J10" s="209">
        <f>'⚙️ ПАРАМЕТРЫ'!$C$39</f>
        <v>1000000</v>
      </c>
      <c r="K10" s="209">
        <f>'⚙️ ПАРАМЕТРЫ'!$C$39</f>
        <v>1000000</v>
      </c>
      <c r="L10" s="209">
        <f>'⚙️ ПАРАМЕТРЫ'!$C$39</f>
        <v>1000000</v>
      </c>
      <c r="M10" s="209">
        <f>'⚙️ ПАРАМЕТРЫ'!$C$39</f>
        <v>1000000</v>
      </c>
      <c r="N10" s="209">
        <f>'⚙️ ПАРАМЕТРЫ'!$C$39</f>
        <v>1000000</v>
      </c>
    </row>
    <row r="11" spans="1:14" ht="12" customHeight="1" x14ac:dyDescent="0.25">
      <c r="A11" s="210"/>
      <c r="B11" s="322" t="s">
        <v>421</v>
      </c>
      <c r="C11" s="322"/>
      <c r="D11" s="322"/>
      <c r="E11" s="322"/>
      <c r="F11" s="322"/>
      <c r="G11" s="322"/>
      <c r="H11" s="322"/>
      <c r="I11" s="322"/>
      <c r="J11" s="193"/>
      <c r="K11" s="193"/>
      <c r="L11" s="193"/>
      <c r="M11" s="193"/>
      <c r="N11" s="193"/>
    </row>
    <row r="12" spans="1:14" s="72" customFormat="1" ht="15.75" customHeight="1" x14ac:dyDescent="0.25">
      <c r="A12" s="207"/>
      <c r="B12" s="207" t="s">
        <v>422</v>
      </c>
      <c r="C12" s="208">
        <f>'💰 CASH FLOW'!E29</f>
        <v>1970608.6404656717</v>
      </c>
      <c r="D12" s="208">
        <f>'💰 CASH FLOW'!H29</f>
        <v>5551917.2809313433</v>
      </c>
      <c r="E12" s="208">
        <f>'💰 CASH FLOW'!K29</f>
        <v>9058885.9213970155</v>
      </c>
      <c r="F12" s="208">
        <f>'💰 CASH FLOW'!N29</f>
        <v>11698554.561862687</v>
      </c>
      <c r="G12" s="208">
        <f>'💰 CASH FLOW'!Q29</f>
        <v>15976849.202328358</v>
      </c>
      <c r="H12" s="208">
        <f>'💰 CASH FLOW'!T29</f>
        <v>20255143.842794031</v>
      </c>
      <c r="I12" s="208">
        <f>'💰 CASH FLOW'!W29</f>
        <v>24426388.483259708</v>
      </c>
      <c r="J12" s="208">
        <f>'💰 CASH FLOW'!Z29</f>
        <v>27607425.123725384</v>
      </c>
      <c r="K12" s="208">
        <f>'💰 CASH FLOW'!AC29</f>
        <v>32699413.764191061</v>
      </c>
      <c r="L12" s="208">
        <f>'💰 CASH FLOW'!AF29</f>
        <v>37791402.404656738</v>
      </c>
      <c r="M12" s="208">
        <f>'💰 CASH FLOW'!AI29</f>
        <v>42767777.045122415</v>
      </c>
      <c r="N12" s="208">
        <f>'💰 CASH FLOW'!AL29</f>
        <v>46587985.685588092</v>
      </c>
    </row>
    <row r="13" spans="1:14" ht="15" customHeight="1" x14ac:dyDescent="0.25">
      <c r="A13" s="193"/>
      <c r="B13" s="3" t="s">
        <v>423</v>
      </c>
      <c r="C13" s="3"/>
      <c r="D13" s="3"/>
      <c r="E13" s="3"/>
      <c r="F13" s="3"/>
      <c r="G13" s="3"/>
      <c r="H13" s="3"/>
      <c r="I13" s="3"/>
      <c r="J13" s="3"/>
      <c r="K13" s="3"/>
      <c r="L13" s="3"/>
      <c r="M13" s="3"/>
      <c r="N13" s="3"/>
    </row>
    <row r="14" spans="1:14" s="72" customFormat="1" ht="12.75" customHeight="1" x14ac:dyDescent="0.25">
      <c r="A14" s="211"/>
      <c r="B14" s="211" t="s">
        <v>424</v>
      </c>
      <c r="C14" s="212">
        <f t="shared" ref="C14:N14" si="0">C6+C8+C10+C12</f>
        <v>4557037.6404656712</v>
      </c>
      <c r="D14" s="213">
        <f t="shared" si="0"/>
        <v>8084775.2809313433</v>
      </c>
      <c r="E14" s="213">
        <f t="shared" si="0"/>
        <v>11538172.921397015</v>
      </c>
      <c r="F14" s="213">
        <f t="shared" si="0"/>
        <v>14124270.561862687</v>
      </c>
      <c r="G14" s="213">
        <f t="shared" si="0"/>
        <v>18348994.202328358</v>
      </c>
      <c r="H14" s="213">
        <f t="shared" si="0"/>
        <v>22573717.842794031</v>
      </c>
      <c r="I14" s="213">
        <f t="shared" si="0"/>
        <v>26691391.483259708</v>
      </c>
      <c r="J14" s="213">
        <f t="shared" si="0"/>
        <v>29818857.123725384</v>
      </c>
      <c r="K14" s="213">
        <f t="shared" si="0"/>
        <v>34857274.764191061</v>
      </c>
      <c r="L14" s="213">
        <f t="shared" si="0"/>
        <v>39895692.404656738</v>
      </c>
      <c r="M14" s="213">
        <f t="shared" si="0"/>
        <v>44818496.045122415</v>
      </c>
      <c r="N14" s="213">
        <f t="shared" si="0"/>
        <v>48585133.685588092</v>
      </c>
    </row>
    <row r="15" spans="1:14" s="72" customFormat="1" ht="12.75" customHeight="1" x14ac:dyDescent="0.25">
      <c r="A15" s="46"/>
      <c r="B15" s="2" t="s">
        <v>425</v>
      </c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</row>
    <row r="16" spans="1:14" ht="15" customHeight="1" x14ac:dyDescent="0.25">
      <c r="A16" s="191"/>
      <c r="B16" s="191" t="s">
        <v>426</v>
      </c>
      <c r="C16" s="160">
        <f>IF('⚙️ ПАРАМЕТРЫ'!$C$46=0,0,MAX(ABS(FV('⚙️ ПАРАМЕТРЫ'!$C$47/12,3,'⚙️ ПАРАМЕТРЫ'!$C$49,-'⚙️ ПАРАМЕТРЫ'!$C$46)),0))</f>
        <v>939329.82467559446</v>
      </c>
      <c r="D16" s="160">
        <f>IF('⚙️ ПАРАМЕТРЫ'!$C$46=0,0,MAX(ABS(FV('⚙️ ПАРАМЕТРЫ'!$C$47/12,6,'⚙️ ПАРАМЕТРЫ'!$C$49,-'⚙️ ПАРАМЕТРЫ'!$C$46)),0))</f>
        <v>875261.24009636033</v>
      </c>
      <c r="E16" s="160">
        <f>IF('⚙️ ПАРАМЕТРЫ'!$C$46=0,0,MAX(ABS(FV('⚙️ ПАРАМЕТРЫ'!$C$47/12,9,'⚙️ ПАРАМЕТРЫ'!$C$49,-'⚙️ ПАРАМЕТРЫ'!$C$46)),0))</f>
        <v>807603.8860828263</v>
      </c>
      <c r="F16" s="160">
        <f>IF('⚙️ ПАРАМЕТРЫ'!$C$46=0,0,MAX(ABS(FV('⚙️ ПАРАМЕТРЫ'!$C$47/12,12,'⚙️ ПАРАМЕТРЫ'!$C$49,-'⚙️ ПАРАМЕТРЫ'!$C$46)),0))</f>
        <v>736156.73952613014</v>
      </c>
      <c r="G16" s="160">
        <f>IF('⚙️ ПАРАМЕТРЫ'!$C$46=0,0,MAX(ABS(FV('⚙️ ПАРАМЕТРЫ'!$C$47/12,15,'⚙️ ПАРАМЕТРЫ'!$C$49,-'⚙️ ПАРАМЕТРЫ'!$C$46)),0))</f>
        <v>660707.51710940781</v>
      </c>
      <c r="H16" s="160">
        <f>IF('⚙️ ПАРАМЕТРЫ'!$C$46=0,0,MAX(ABS(FV('⚙️ ПАРАМЕТРЫ'!$C$47/12,18,'⚙️ ПАРАМЕТРЫ'!$C$49,-'⚙️ ПАРАМЕТРЫ'!$C$46)),0))</f>
        <v>581032.0445729252</v>
      </c>
      <c r="I16" s="160">
        <f>IF('⚙️ ПАРАМЕТРЫ'!$C$46=0,0,MAX(ABS(FV('⚙️ ПАРАМЕТРЫ'!$C$47/12,21,'⚙️ ПАРАМЕТРЫ'!$C$49,-'⚙️ ПАРАМЕТРЫ'!$C$46)),0))</f>
        <v>496893.59064891632</v>
      </c>
      <c r="J16" s="160">
        <f>IF('⚙️ ПАРАМЕТРЫ'!$C$46=0,0,MAX(ABS(FV('⚙️ ПАРАМЕТРЫ'!$C$47/12,24,'⚙️ ПАРАМЕТРЫ'!$C$49,-'⚙️ ПАРАМЕТРЫ'!$C$46)),0))</f>
        <v>408042.16368711065</v>
      </c>
      <c r="K16" s="160">
        <f>IF('⚙️ ПАРАМЕТРЫ'!$C$46=0,0,MAX(ABS(FV('⚙️ ПАРАМЕТРЫ'!$C$47/12,27,'⚙️ ПАРАМЕТРЫ'!$C$49,-'⚙️ ПАРАМЕТРЫ'!$C$46)),0))</f>
        <v>314213.76888110256</v>
      </c>
      <c r="L16" s="160">
        <f>IF('⚙️ ПАРАМЕТРЫ'!$C$46=0,0,MAX(ABS(FV('⚙️ ПАРАМЕТРЫ'!$C$47/12,30,'⚙️ ПАРАМЕТРЫ'!$C$49,-'⚙️ ПАРАМЕТРЫ'!$C$46)),0))</f>
        <v>215129.62388862367</v>
      </c>
      <c r="M16" s="160">
        <f>IF('⚙️ ПАРАМЕТРЫ'!$C$46=0,0,MAX(ABS(FV('⚙️ ПАРАМЕТРЫ'!$C$47/12,33,'⚙️ ПАРАМЕТРЫ'!$C$49,-'⚙️ ПАРАМЕТРЫ'!$C$46)),0))</f>
        <v>110495.33051518654</v>
      </c>
      <c r="N16" s="160">
        <f>IF('⚙️ ПАРАМЕТРЫ'!$C$46=0,0,MAX(ABS(FV('⚙️ ПАРАМЕТРЫ'!$C$47/12,36,'⚙️ ПАРАМЕТРЫ'!$C$49,-'⚙️ ПАРАМЕТРЫ'!$C$46)),0))</f>
        <v>6.9849193096160889E-10</v>
      </c>
    </row>
    <row r="17" spans="1:14" ht="15" customHeight="1" x14ac:dyDescent="0.25">
      <c r="A17" s="193"/>
      <c r="B17" s="3" t="s">
        <v>427</v>
      </c>
      <c r="C17" s="3"/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</row>
    <row r="18" spans="1:14" ht="14.25" customHeight="1" x14ac:dyDescent="0.25">
      <c r="A18" s="191"/>
      <c r="B18" s="191" t="s">
        <v>428</v>
      </c>
      <c r="C18" s="160">
        <f>'⚙️ ПАРАМЕТРЫ'!$C$41-'⚙️ ПАРАМЕТРЫ'!$C$46</f>
        <v>1640000</v>
      </c>
      <c r="D18" s="160">
        <f>'⚙️ ПАРАМЕТРЫ'!$C$41-'⚙️ ПАРАМЕТРЫ'!$C$46</f>
        <v>1640000</v>
      </c>
      <c r="E18" s="160">
        <f>'⚙️ ПАРАМЕТРЫ'!$C$41-'⚙️ ПАРАМЕТРЫ'!$C$46</f>
        <v>1640000</v>
      </c>
      <c r="F18" s="160">
        <f>'⚙️ ПАРАМЕТРЫ'!$C$41-'⚙️ ПАРАМЕТРЫ'!$C$46</f>
        <v>1640000</v>
      </c>
      <c r="G18" s="160">
        <f>'⚙️ ПАРАМЕТРЫ'!$C$41-'⚙️ ПАРАМЕТРЫ'!$C$46</f>
        <v>1640000</v>
      </c>
      <c r="H18" s="160">
        <f>'⚙️ ПАРАМЕТРЫ'!$C$41-'⚙️ ПАРАМЕТРЫ'!$C$46</f>
        <v>1640000</v>
      </c>
      <c r="I18" s="160">
        <f>'⚙️ ПАРАМЕТРЫ'!$C$41-'⚙️ ПАРАМЕТРЫ'!$C$46</f>
        <v>1640000</v>
      </c>
      <c r="J18" s="160">
        <f>'⚙️ ПАРАМЕТРЫ'!$C$41-'⚙️ ПАРАМЕТРЫ'!$C$46</f>
        <v>1640000</v>
      </c>
      <c r="K18" s="160">
        <f>'⚙️ ПАРАМЕТРЫ'!$C$41-'⚙️ ПАРАМЕТРЫ'!$C$46</f>
        <v>1640000</v>
      </c>
      <c r="L18" s="160">
        <f>'⚙️ ПАРАМЕТРЫ'!$C$41-'⚙️ ПАРАМЕТРЫ'!$C$46</f>
        <v>1640000</v>
      </c>
      <c r="M18" s="160">
        <f>'⚙️ ПАРАМЕТРЫ'!$C$41-'⚙️ ПАРАМЕТРЫ'!$C$46</f>
        <v>1640000</v>
      </c>
      <c r="N18" s="160">
        <f>'⚙️ ПАРАМЕТРЫ'!$C$41-'⚙️ ПАРАМЕТРЫ'!$C$46</f>
        <v>1640000</v>
      </c>
    </row>
    <row r="19" spans="1:14" ht="15" customHeight="1" x14ac:dyDescent="0.25">
      <c r="A19" s="191"/>
      <c r="B19" s="191" t="s">
        <v>429</v>
      </c>
      <c r="C19" s="160">
        <f>SUM('📈 P&amp;L'!C38:E38)</f>
        <v>1977707.8157900772</v>
      </c>
      <c r="D19" s="160">
        <f>SUM('📈 P&amp;L'!C38:H38)</f>
        <v>5569514.0408349829</v>
      </c>
      <c r="E19" s="160">
        <f>SUM('📈 P&amp;L'!C38:K38)</f>
        <v>9090569.0353141874</v>
      </c>
      <c r="F19" s="160">
        <f>SUM('📈 P&amp;L'!C38:N38)</f>
        <v>11748113.822336555</v>
      </c>
      <c r="G19" s="160">
        <f>SUM('📈 P&amp;L'!C38:Q38)</f>
        <v>16048286.685218947</v>
      </c>
      <c r="H19" s="160">
        <f>SUM('📈 P&amp;L'!C38:T38)</f>
        <v>20352685.7982211</v>
      </c>
      <c r="I19" s="160">
        <f>SUM('📈 P&amp;L'!C38:W38)</f>
        <v>24554497.892610785</v>
      </c>
      <c r="J19" s="160">
        <f>SUM('📈 P&amp;L'!C38:Z38)</f>
        <v>27770814.96003826</v>
      </c>
      <c r="K19" s="160">
        <f>SUM('📈 P&amp;L'!C38:AC38)</f>
        <v>32903060.995309941</v>
      </c>
      <c r="L19" s="160">
        <f>SUM('📈 P&amp;L'!C38:AF38)</f>
        <v>38040562.780768089</v>
      </c>
      <c r="M19" s="160">
        <f>SUM('📈 P&amp;L'!C38:AI38)</f>
        <v>43068000.714607194</v>
      </c>
      <c r="N19" s="160">
        <f>SUM('📈 P&amp;L'!C38:AL38)</f>
        <v>46945133.685588047</v>
      </c>
    </row>
    <row r="20" spans="1:14" ht="15" customHeight="1" x14ac:dyDescent="0.25">
      <c r="A20" s="193"/>
      <c r="B20" s="3" t="s">
        <v>430</v>
      </c>
      <c r="C20" s="3"/>
      <c r="D20" s="3"/>
      <c r="E20" s="3"/>
      <c r="F20" s="3"/>
      <c r="G20" s="3"/>
      <c r="H20" s="3"/>
      <c r="I20" s="3"/>
      <c r="J20" s="3"/>
      <c r="K20" s="3"/>
      <c r="L20" s="3"/>
      <c r="M20" s="3"/>
      <c r="N20" s="3"/>
    </row>
    <row r="21" spans="1:14" s="72" customFormat="1" ht="15" customHeight="1" x14ac:dyDescent="0.25">
      <c r="A21" s="211"/>
      <c r="B21" s="211" t="s">
        <v>431</v>
      </c>
      <c r="C21" s="212">
        <f t="shared" ref="C21:N21" si="1">C16+C18+C19</f>
        <v>4557037.6404656712</v>
      </c>
      <c r="D21" s="212">
        <f t="shared" si="1"/>
        <v>8084775.2809313433</v>
      </c>
      <c r="E21" s="212">
        <f t="shared" si="1"/>
        <v>11538172.921397014</v>
      </c>
      <c r="F21" s="212">
        <f t="shared" si="1"/>
        <v>14124270.561862685</v>
      </c>
      <c r="G21" s="212">
        <f t="shared" si="1"/>
        <v>18348994.202328354</v>
      </c>
      <c r="H21" s="212">
        <f t="shared" si="1"/>
        <v>22573717.842794023</v>
      </c>
      <c r="I21" s="212">
        <f t="shared" si="1"/>
        <v>26691391.4832597</v>
      </c>
      <c r="J21" s="212">
        <f t="shared" si="1"/>
        <v>29818857.12372537</v>
      </c>
      <c r="K21" s="212">
        <f t="shared" si="1"/>
        <v>34857274.764191046</v>
      </c>
      <c r="L21" s="212">
        <f t="shared" si="1"/>
        <v>39895692.404656716</v>
      </c>
      <c r="M21" s="212">
        <f t="shared" si="1"/>
        <v>44818496.045122378</v>
      </c>
      <c r="N21" s="212">
        <f t="shared" si="1"/>
        <v>48585133.685588047</v>
      </c>
    </row>
    <row r="23" spans="1:14" ht="12.75" customHeight="1" x14ac:dyDescent="0.25">
      <c r="A23" s="214"/>
      <c r="B23" s="214" t="s">
        <v>432</v>
      </c>
      <c r="C23" s="160">
        <f t="shared" ref="C23:N23" si="2">C14-C21</f>
        <v>0</v>
      </c>
      <c r="D23" s="160">
        <f t="shared" si="2"/>
        <v>0</v>
      </c>
      <c r="E23" s="160">
        <f t="shared" si="2"/>
        <v>0</v>
      </c>
      <c r="F23" s="160">
        <f t="shared" si="2"/>
        <v>0</v>
      </c>
      <c r="G23" s="160">
        <f t="shared" si="2"/>
        <v>0</v>
      </c>
      <c r="H23" s="160">
        <f t="shared" si="2"/>
        <v>0</v>
      </c>
      <c r="I23" s="160">
        <f t="shared" si="2"/>
        <v>0</v>
      </c>
      <c r="J23" s="160">
        <f t="shared" si="2"/>
        <v>0</v>
      </c>
      <c r="K23" s="160">
        <f t="shared" si="2"/>
        <v>0</v>
      </c>
      <c r="L23" s="160">
        <f t="shared" si="2"/>
        <v>0</v>
      </c>
      <c r="M23" s="160">
        <f t="shared" si="2"/>
        <v>0</v>
      </c>
      <c r="N23" s="160">
        <f t="shared" si="2"/>
        <v>0</v>
      </c>
    </row>
    <row r="24" spans="1:14" ht="15" customHeight="1" x14ac:dyDescent="0.25">
      <c r="A24" s="193"/>
      <c r="B24" s="3" t="s">
        <v>433</v>
      </c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</row>
    <row r="26" spans="1:14" ht="9.75" customHeight="1" x14ac:dyDescent="0.25">
      <c r="A26" s="193"/>
      <c r="B26" s="3" t="s">
        <v>434</v>
      </c>
      <c r="C26" s="3"/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</row>
    <row r="27" spans="1:14" x14ac:dyDescent="0.25">
      <c r="B27" s="202" t="s">
        <v>394</v>
      </c>
    </row>
  </sheetData>
  <mergeCells count="11">
    <mergeCell ref="B26:N26"/>
    <mergeCell ref="B13:N13"/>
    <mergeCell ref="B15:N15"/>
    <mergeCell ref="B17:N17"/>
    <mergeCell ref="B20:N20"/>
    <mergeCell ref="B24:N24"/>
    <mergeCell ref="A1:N1"/>
    <mergeCell ref="A2:N2"/>
    <mergeCell ref="B5:N5"/>
    <mergeCell ref="B7:N7"/>
    <mergeCell ref="B11:I11"/>
  </mergeCells>
  <conditionalFormatting sqref="C23:N23">
    <cfRule type="cellIs" dxfId="6" priority="2" operator="equal">
      <formula>0</formula>
    </cfRule>
    <cfRule type="cellIs" dxfId="5" priority="3" operator="notEqual">
      <formula>0</formula>
    </cfRule>
  </conditionalFormatting>
  <conditionalFormatting sqref="C12:N12">
    <cfRule type="colorScale" priority="4">
      <colorScale>
        <cfvo type="min"/>
        <cfvo type="num" val="0"/>
        <cfvo type="max"/>
        <color rgb="FFFF6B6B"/>
        <color rgb="FFFFFFFF"/>
        <color rgb="FF00D6A0"/>
      </colorScale>
    </cfRule>
  </conditionalFormatting>
  <pageMargins left="0.75" right="0.75" top="1" bottom="1" header="0.511811023622047" footer="0.511811023622047"/>
  <pageSetup paperSize="9" orientation="portrait" horizontalDpi="300" verticalDpi="300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tabColor rgb="FFE65100"/>
  </sheetPr>
  <dimension ref="A1:G21"/>
  <sheetViews>
    <sheetView zoomScaleNormal="100" workbookViewId="0">
      <selection activeCell="C11" sqref="C11"/>
    </sheetView>
  </sheetViews>
  <sheetFormatPr defaultColWidth="8.6640625" defaultRowHeight="12" x14ac:dyDescent="0.25"/>
  <cols>
    <col min="1" max="1" width="3" style="32" customWidth="1"/>
    <col min="2" max="2" width="41.33203125" style="32" customWidth="1"/>
    <col min="3" max="7" width="25.88671875" style="32" customWidth="1"/>
    <col min="8" max="16384" width="8.6640625" style="32"/>
  </cols>
  <sheetData>
    <row r="1" spans="1:7" ht="27.75" customHeight="1" x14ac:dyDescent="0.25">
      <c r="A1" s="323" t="s">
        <v>435</v>
      </c>
      <c r="B1" s="323"/>
      <c r="C1" s="323"/>
      <c r="D1" s="323"/>
      <c r="E1" s="323"/>
      <c r="F1" s="323"/>
      <c r="G1" s="323"/>
    </row>
    <row r="2" spans="1:7" ht="15" customHeight="1" x14ac:dyDescent="0.25">
      <c r="A2" s="301" t="s">
        <v>436</v>
      </c>
      <c r="B2" s="301"/>
      <c r="C2" s="301"/>
      <c r="D2" s="301"/>
      <c r="E2" s="301"/>
      <c r="F2" s="301"/>
      <c r="G2" s="301"/>
    </row>
    <row r="4" spans="1:7" s="72" customFormat="1" ht="12.75" customHeight="1" x14ac:dyDescent="0.25">
      <c r="A4" s="47"/>
      <c r="B4" s="47" t="s">
        <v>437</v>
      </c>
      <c r="C4" s="47" t="s">
        <v>438</v>
      </c>
      <c r="D4" s="47" t="s">
        <v>439</v>
      </c>
      <c r="E4" s="47" t="s">
        <v>440</v>
      </c>
      <c r="F4" s="47" t="s">
        <v>441</v>
      </c>
      <c r="G4" s="47" t="s">
        <v>442</v>
      </c>
    </row>
    <row r="5" spans="1:7" s="72" customFormat="1" ht="13.5" customHeight="1" x14ac:dyDescent="0.25">
      <c r="A5" s="215"/>
      <c r="B5" s="215" t="s">
        <v>351</v>
      </c>
      <c r="C5" s="216">
        <f>AVERAGE('📈 P&amp;L'!O38:Z38)+AVERAGE('📈 P&amp;L'!O12:Z12)*(-0.3)*(1-'⚙️ ПАРАМЕТРЫ'!$C$19-'⚙️ ПАРАМЕТРЫ'!$C$20-'⚙️ ПАРАМЕТРЫ'!$C$8)</f>
        <v>733740.1548084754</v>
      </c>
      <c r="D5" s="216">
        <f>AVERAGE('📈 P&amp;L'!O38:Z38)+AVERAGE('📈 P&amp;L'!O12:Z12)*(-0.1)*(1-'⚙️ ПАРАМЕТРЫ'!$C$19-'⚙️ ПАРАМЕТРЫ'!$C$20-'⚙️ ПАРАМЕТРЫ'!$C$8)</f>
        <v>1134730.1148084754</v>
      </c>
      <c r="E5" s="217">
        <f>AVERAGE('📈 P&amp;L'!O38:Z38)</f>
        <v>1335225.0948084753</v>
      </c>
      <c r="F5" s="216">
        <f>AVERAGE('📈 P&amp;L'!O38:Z38)+AVERAGE('📈 P&amp;L'!O12:Z12)*(0.1)*(1-'⚙️ ПАРАМЕТРЫ'!$C$19-'⚙️ ПАРАМЕТРЫ'!$C$20-'⚙️ ПАРАМЕТРЫ'!$C$8)</f>
        <v>1535720.0748084753</v>
      </c>
      <c r="G5" s="216">
        <f>AVERAGE('📈 P&amp;L'!O38:Z38)+AVERAGE('📈 P&amp;L'!O12:Z12)*(0.3)*(1-'⚙️ ПАРАМЕТРЫ'!$C$19-'⚙️ ПАРАМЕТРЫ'!$C$20-'⚙️ ПАРАМЕТРЫ'!$C$8)</f>
        <v>1936710.0348084753</v>
      </c>
    </row>
    <row r="6" spans="1:7" ht="15" customHeight="1" x14ac:dyDescent="0.25">
      <c r="A6" s="79"/>
      <c r="B6" s="324" t="s">
        <v>443</v>
      </c>
      <c r="C6" s="324"/>
      <c r="D6" s="324"/>
      <c r="E6" s="324"/>
      <c r="F6" s="324"/>
      <c r="G6" s="324"/>
    </row>
    <row r="7" spans="1:7" x14ac:dyDescent="0.25">
      <c r="A7" s="181"/>
      <c r="B7" s="218" t="s">
        <v>102</v>
      </c>
      <c r="C7" s="219">
        <f>AVERAGE('📈 P&amp;L'!O38:Z38)-'⚙️ ПАРАМЕТРЫ'!$C$23*0.3*12</f>
        <v>1083225.0948084753</v>
      </c>
      <c r="D7" s="219">
        <f>AVERAGE('📈 P&amp;L'!O38:Z38)-'⚙️ ПАРАМЕТРЫ'!$C$23*0.1*12</f>
        <v>1251225.0948084753</v>
      </c>
      <c r="E7" s="219">
        <f>AVERAGE('📈 P&amp;L'!O38:Z38)</f>
        <v>1335225.0948084753</v>
      </c>
      <c r="F7" s="219">
        <f>AVERAGE('📈 P&amp;L'!O38:Z38)+'⚙️ ПАРАМЕТРЫ'!$C$23*0.1*12</f>
        <v>1419225.0948084753</v>
      </c>
      <c r="G7" s="219">
        <f>AVERAGE('📈 P&amp;L'!O38:Z38)+'⚙️ ПАРАМЕТРЫ'!$C$23*0.3*12</f>
        <v>1587225.0948084753</v>
      </c>
    </row>
    <row r="8" spans="1:7" ht="15" customHeight="1" x14ac:dyDescent="0.25">
      <c r="A8" s="79"/>
      <c r="B8" s="325" t="s">
        <v>444</v>
      </c>
      <c r="C8" s="325"/>
      <c r="D8" s="325"/>
      <c r="E8" s="325"/>
      <c r="F8" s="325"/>
      <c r="G8" s="325"/>
    </row>
    <row r="9" spans="1:7" s="72" customFormat="1" ht="15.75" customHeight="1" x14ac:dyDescent="0.25">
      <c r="A9" s="215"/>
      <c r="B9" s="215" t="s">
        <v>445</v>
      </c>
      <c r="C9" s="216">
        <f>AVERAGE('📈 P&amp;L'!O38:Z38)+AVERAGE('📈 P&amp;L'!O12:Z12)*0.3</f>
        <v>2354691.0948084751</v>
      </c>
      <c r="D9" s="216">
        <f>AVERAGE('📈 P&amp;L'!O38:Z38)+AVERAGE('📈 P&amp;L'!O12:Z12)*0.1</f>
        <v>1675047.0948084753</v>
      </c>
      <c r="E9" s="217">
        <f>AVERAGE('📈 P&amp;L'!O38:Z38)</f>
        <v>1335225.0948084753</v>
      </c>
      <c r="F9" s="216">
        <f>AVERAGE('📈 P&amp;L'!O38:Z38)-AVERAGE('📈 P&amp;L'!O12:Z12)*0.1</f>
        <v>995403.09480847535</v>
      </c>
      <c r="G9" s="216">
        <f>AVERAGE('📈 P&amp;L'!O38:Z38)-AVERAGE('📈 P&amp;L'!O12:Z12)*0.3</f>
        <v>315759.09480847535</v>
      </c>
    </row>
    <row r="10" spans="1:7" ht="15" customHeight="1" x14ac:dyDescent="0.25">
      <c r="A10" s="79"/>
      <c r="B10" s="305" t="s">
        <v>446</v>
      </c>
      <c r="C10" s="305"/>
      <c r="D10" s="305"/>
      <c r="E10" s="305"/>
      <c r="F10" s="305"/>
      <c r="G10" s="305"/>
    </row>
    <row r="11" spans="1:7" s="72" customFormat="1" ht="16.5" customHeight="1" x14ac:dyDescent="0.25">
      <c r="A11" s="215"/>
      <c r="B11" s="215" t="s">
        <v>102</v>
      </c>
      <c r="C11" s="216">
        <f>AVERAGE('📈 P&amp;L'!O38:Z38)+'⚙️ ПАРАМЕТРЫ'!$C$23*0.3</f>
        <v>1356225.0948084753</v>
      </c>
      <c r="D11" s="216">
        <f>AVERAGE('📈 P&amp;L'!O38:Z38)+'⚙️ ПАРАМЕТРЫ'!$C$23*0.1</f>
        <v>1342225.0948084753</v>
      </c>
      <c r="E11" s="217">
        <f>AVERAGE('📈 P&amp;L'!O38:Z38)</f>
        <v>1335225.0948084753</v>
      </c>
      <c r="F11" s="216">
        <f>AVERAGE('📈 P&amp;L'!O38:Z38)-'⚙️ ПАРАМЕТРЫ'!$C$23*0.1</f>
        <v>1328225.0948084753</v>
      </c>
      <c r="G11" s="216">
        <f>AVERAGE('📈 P&amp;L'!O38:Z38)-'⚙️ ПАРАМЕТРЫ'!$C$23*0.3</f>
        <v>1314225.0948084753</v>
      </c>
    </row>
    <row r="12" spans="1:7" ht="15" customHeight="1" x14ac:dyDescent="0.25">
      <c r="A12" s="79"/>
      <c r="B12" s="305" t="s">
        <v>447</v>
      </c>
      <c r="C12" s="305"/>
      <c r="D12" s="305"/>
      <c r="E12" s="305"/>
      <c r="F12" s="305"/>
      <c r="G12" s="305"/>
    </row>
    <row r="13" spans="1:7" s="72" customFormat="1" ht="18" customHeight="1" x14ac:dyDescent="0.25">
      <c r="A13" s="215"/>
      <c r="B13" s="215" t="s">
        <v>448</v>
      </c>
      <c r="C13" s="216">
        <f>AVERAGE('📈 P&amp;L'!O38:Z38)+'⚙️ ПАРАМЕТРЫ'!$C$43*0.3</f>
        <v>1347225.0948084753</v>
      </c>
      <c r="D13" s="216">
        <f>AVERAGE('📈 P&amp;L'!O38:Z38)+'⚙️ ПАРАМЕТРЫ'!$C$43*0.1</f>
        <v>1339225.0948084753</v>
      </c>
      <c r="E13" s="217">
        <f>AVERAGE('📈 P&amp;L'!O38:Z38)</f>
        <v>1335225.0948084753</v>
      </c>
      <c r="F13" s="216">
        <f>AVERAGE('📈 P&amp;L'!O38:Z38)-'⚙️ ПАРАМЕТРЫ'!$C$43*0.1</f>
        <v>1331225.0948084753</v>
      </c>
      <c r="G13" s="216">
        <f>AVERAGE('📈 P&amp;L'!O38:Z38)-'⚙️ ПАРАМЕТРЫ'!$C$43*0.3</f>
        <v>1323225.0948084753</v>
      </c>
    </row>
    <row r="14" spans="1:7" ht="15" customHeight="1" x14ac:dyDescent="0.25">
      <c r="A14" s="79"/>
      <c r="B14" s="305" t="s">
        <v>449</v>
      </c>
      <c r="C14" s="305"/>
      <c r="D14" s="305"/>
      <c r="E14" s="305"/>
      <c r="F14" s="305"/>
      <c r="G14" s="305"/>
    </row>
    <row r="16" spans="1:7" ht="14.25" customHeight="1" x14ac:dyDescent="0.25">
      <c r="A16" s="74"/>
      <c r="B16" s="302" t="s">
        <v>450</v>
      </c>
      <c r="C16" s="302"/>
      <c r="D16" s="302"/>
      <c r="E16" s="302"/>
      <c r="F16" s="302"/>
      <c r="G16" s="302"/>
    </row>
    <row r="17" spans="1:7" ht="20.25" customHeight="1" x14ac:dyDescent="0.25">
      <c r="A17" s="220"/>
      <c r="B17" s="326" t="s">
        <v>451</v>
      </c>
      <c r="C17" s="326"/>
      <c r="D17" s="326"/>
      <c r="E17" s="326"/>
      <c r="F17" s="326"/>
      <c r="G17" s="326"/>
    </row>
    <row r="19" spans="1:7" ht="15" customHeight="1" x14ac:dyDescent="0.25">
      <c r="A19" s="79"/>
      <c r="B19" s="305" t="s">
        <v>452</v>
      </c>
      <c r="C19" s="305"/>
      <c r="D19" s="305"/>
      <c r="E19" s="305"/>
      <c r="F19" s="305"/>
      <c r="G19" s="305"/>
    </row>
    <row r="21" spans="1:7" x14ac:dyDescent="0.25">
      <c r="B21" s="202" t="s">
        <v>394</v>
      </c>
    </row>
  </sheetData>
  <mergeCells count="10">
    <mergeCell ref="B12:G12"/>
    <mergeCell ref="B14:G14"/>
    <mergeCell ref="B16:G16"/>
    <mergeCell ref="B17:G17"/>
    <mergeCell ref="B19:G19"/>
    <mergeCell ref="A1:G1"/>
    <mergeCell ref="A2:G2"/>
    <mergeCell ref="B6:G6"/>
    <mergeCell ref="B8:G8"/>
    <mergeCell ref="B10:G10"/>
  </mergeCells>
  <conditionalFormatting sqref="C5:G14">
    <cfRule type="colorScale" priority="2">
      <colorScale>
        <cfvo type="min"/>
        <cfvo type="percentile" val="50"/>
        <cfvo type="max"/>
        <color rgb="FFFF6B6B"/>
        <color rgb="FFFFFFFF"/>
        <color rgb="FF00D6A0"/>
      </colorScale>
    </cfRule>
  </conditionalFormatting>
  <pageMargins left="0.75" right="0.75" top="1" bottom="1" header="0.511811023622047" footer="0.511811023622047"/>
  <pageSetup paperSize="9" orientation="portrait" horizontalDpi="300" verticalDpi="300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tabColor rgb="FFB71C1C"/>
  </sheetPr>
  <dimension ref="A1:E26"/>
  <sheetViews>
    <sheetView tabSelected="1" zoomScaleNormal="100" workbookViewId="0">
      <selection activeCell="B5" sqref="B5"/>
    </sheetView>
  </sheetViews>
  <sheetFormatPr defaultColWidth="8.6640625" defaultRowHeight="14.4" x14ac:dyDescent="0.3"/>
  <cols>
    <col min="1" max="1" width="37" style="221" customWidth="1"/>
    <col min="2" max="3" width="27.77734375" style="221" customWidth="1"/>
    <col min="4" max="4" width="48.109375" style="221" customWidth="1"/>
    <col min="5" max="5" width="48" style="221" customWidth="1"/>
    <col min="6" max="6" width="64.77734375" style="221" customWidth="1"/>
    <col min="7" max="16384" width="8.6640625" style="221"/>
  </cols>
  <sheetData>
    <row r="1" spans="1:5" ht="27.75" customHeight="1" x14ac:dyDescent="0.3">
      <c r="A1" s="34" t="s">
        <v>453</v>
      </c>
      <c r="B1" s="203"/>
      <c r="C1" s="203"/>
      <c r="D1" s="203"/>
    </row>
    <row r="2" spans="1:5" ht="15" customHeight="1" x14ac:dyDescent="0.25">
      <c r="A2" s="36" t="s">
        <v>454</v>
      </c>
      <c r="B2" s="35"/>
      <c r="C2" s="35"/>
      <c r="D2" s="35"/>
    </row>
    <row r="3" spans="1:5" x14ac:dyDescent="0.25">
      <c r="A3" s="37"/>
      <c r="B3" s="37"/>
      <c r="C3" s="37"/>
      <c r="D3" s="37"/>
    </row>
    <row r="4" spans="1:5" x14ac:dyDescent="0.25">
      <c r="A4" s="100" t="s">
        <v>455</v>
      </c>
      <c r="B4" s="100" t="s">
        <v>456</v>
      </c>
      <c r="C4" s="100" t="s">
        <v>457</v>
      </c>
      <c r="D4" s="100" t="s">
        <v>458</v>
      </c>
      <c r="E4" s="222" t="s">
        <v>459</v>
      </c>
    </row>
    <row r="5" spans="1:5" x14ac:dyDescent="0.25">
      <c r="A5" s="90" t="s">
        <v>312</v>
      </c>
      <c r="B5" s="223">
        <f>MIN('💰 CASH FLOW'!C22:AL22)</f>
        <v>-1577850.4531781094</v>
      </c>
      <c r="C5" s="110" t="s">
        <v>460</v>
      </c>
      <c r="D5" s="224" t="str">
        <f>IF(MIN('💰 CASH FLOW'!C22:AL22)&lt;0,"❌ ДА — кассовый разрыв!","✅ НЕТ")</f>
        <v>❌ ДА — кассовый разрыв!</v>
      </c>
      <c r="E5" s="225" t="s">
        <v>461</v>
      </c>
    </row>
    <row r="6" spans="1:5" x14ac:dyDescent="0.25">
      <c r="A6" s="90" t="s">
        <v>462</v>
      </c>
      <c r="B6" s="226">
        <f>COUNTIF('📈 P&amp;L'!C38:AL38,"&lt;0")</f>
        <v>0</v>
      </c>
      <c r="C6" s="110" t="s">
        <v>463</v>
      </c>
      <c r="D6" s="224" t="str">
        <f>IF(COUNTIF('📈 P&amp;L'!C38:AL38,"&lt;0")&gt;6,"⚠️ Убыточных мес: "&amp;COUNTIF('📈 P&amp;L'!C38:AL38,"&lt;0"),"✅ OK")</f>
        <v>✅ OK</v>
      </c>
      <c r="E6" s="225" t="s">
        <v>464</v>
      </c>
    </row>
    <row r="7" spans="1:5" x14ac:dyDescent="0.25">
      <c r="A7" s="90" t="s">
        <v>465</v>
      </c>
      <c r="B7" s="227">
        <f>'⚙️ ПАРАМЕТРЫ'!C19</f>
        <v>0.35</v>
      </c>
      <c r="C7" s="110" t="s">
        <v>466</v>
      </c>
      <c r="D7" s="224" t="str">
        <f>IF('⚙️ ПАРАМЕТРЫ'!C19&gt;0.5,"⚠️ COGS слишком высокий: "&amp;TEXT('⚙️ ПАРАМЕТРЫ'!C19,"0%"),"✅ OK: "&amp;TEXT('⚙️ ПАРАМЕТРЫ'!C19,"0%"))</f>
        <v>✅ OK: 35%</v>
      </c>
      <c r="E7" s="225" t="s">
        <v>467</v>
      </c>
    </row>
    <row r="8" spans="1:5" x14ac:dyDescent="0.25">
      <c r="A8" s="90" t="s">
        <v>468</v>
      </c>
      <c r="B8" s="228">
        <f>SUM('📈 P&amp;L'!O24:Z24)/SUM('📈 P&amp;L'!O12:Z12)</f>
        <v>2.265892143533968E-2</v>
      </c>
      <c r="C8" s="110" t="s">
        <v>469</v>
      </c>
      <c r="D8" s="224" t="str">
        <f>IF(SUM('📈 P&amp;L'!O24:Z24)/SUM('📈 P&amp;L'!O12:Z12)&gt;0.25,"⚠️ Доля аренды высока","✅ OK")</f>
        <v>✅ OK</v>
      </c>
      <c r="E8" s="225" t="s">
        <v>470</v>
      </c>
    </row>
    <row r="9" spans="1:5" x14ac:dyDescent="0.25">
      <c r="A9" s="90" t="s">
        <v>471</v>
      </c>
      <c r="B9" s="228">
        <f>SUM('📈 P&amp;L'!O18:Z18)/SUM('📈 P&amp;L'!O12:Z12)</f>
        <v>0.12712537740346416</v>
      </c>
      <c r="C9" s="110" t="s">
        <v>472</v>
      </c>
      <c r="D9" s="224" t="str">
        <f>IF(SUM('📈 P&amp;L'!O18:Z18)/SUM('📈 P&amp;L'!O12:Z12)&gt;0.3,"⚠️ Доля ФОТ высока","✅ OK")</f>
        <v>✅ OK</v>
      </c>
      <c r="E9" s="225" t="s">
        <v>473</v>
      </c>
    </row>
    <row r="10" spans="1:5" x14ac:dyDescent="0.25">
      <c r="A10" s="90" t="s">
        <v>474</v>
      </c>
      <c r="B10" s="229">
        <f>'📊 ДОПУЩЕНИЯ'!C17</f>
        <v>0.4</v>
      </c>
      <c r="C10" s="110" t="s">
        <v>475</v>
      </c>
      <c r="D10" s="224" t="str">
        <f>IF('📊 ДОПУЩЕНИЯ'!C17&gt;0.7,"⚠️ Ramp-up М1 слишком оптимистичен: "&amp;TEXT('📊 ДОПУЩЕНИЯ'!C17,"0%"),"✅ OK: "&amp;TEXT('📊 ДОПУЩЕНИЯ'!C17,"0%"))</f>
        <v>✅ OK: 40%</v>
      </c>
      <c r="E10" s="225" t="s">
        <v>476</v>
      </c>
    </row>
    <row r="11" spans="1:5" x14ac:dyDescent="0.25">
      <c r="A11" s="90" t="s">
        <v>477</v>
      </c>
      <c r="B11" s="226">
        <f>ABS('📈 P&amp;L'!C12-'📈 P&amp;L'!C10*'📈 P&amp;L'!C11*'⚙️ ПАРАМЕТРЫ'!$C$14)</f>
        <v>0</v>
      </c>
      <c r="C11" s="110" t="s">
        <v>478</v>
      </c>
      <c r="D11" s="224" t="str">
        <f>IF(ABS('📈 P&amp;L'!C12-'📈 P&amp;L'!C10*'📈 P&amp;L'!C11*'⚙️ ПАРАМЕТРЫ'!$C$14)&gt;1,"❌ ФОРМУЛА СЛОМАНА","✅ OK")</f>
        <v>✅ OK</v>
      </c>
      <c r="E11" s="225" t="s">
        <v>479</v>
      </c>
    </row>
    <row r="12" spans="1:5" x14ac:dyDescent="0.25">
      <c r="A12" s="90" t="s">
        <v>480</v>
      </c>
      <c r="B12" s="226">
        <f t="array" ref="B12">MAX(ABS('📑 БАЛАНС'!C24:N24))</f>
        <v>0</v>
      </c>
      <c r="C12" s="110" t="s">
        <v>481</v>
      </c>
      <c r="D12" s="224" t="str">
        <f t="array" ref="D12">IF(MAX(ABS('📑 БАЛАНС'!C24:N24))&gt;100,"❌ БАЛАНС НЕ СХОДИТСЯ","✅ OK")</f>
        <v>✅ OK</v>
      </c>
      <c r="E12" s="225" t="s">
        <v>482</v>
      </c>
    </row>
    <row r="13" spans="1:5" ht="14.25" customHeight="1" x14ac:dyDescent="0.25">
      <c r="A13" s="90" t="s">
        <v>483</v>
      </c>
      <c r="B13" s="230">
        <f>'🎯 ДАШБОРД'!D5</f>
        <v>4</v>
      </c>
      <c r="C13" s="110" t="s">
        <v>484</v>
      </c>
      <c r="D13" s="224" t="str">
        <f>IF(ISNUMBER('🎯 ДАШБОРД'!D5),IF('🎯 ДАШБОРД'!D5&gt;36,"⚠️ Не окупается за 3 года","✅ OK: "&amp;'🎯 ДАШБОРД'!D5&amp;" мес"),"⚠️ "&amp;'🎯 ДАШБОРД'!D5)</f>
        <v>✅ OK: 4 мес</v>
      </c>
      <c r="E13" s="225" t="s">
        <v>485</v>
      </c>
    </row>
    <row r="14" spans="1:5" x14ac:dyDescent="0.25">
      <c r="A14" s="90" t="s">
        <v>486</v>
      </c>
      <c r="B14" s="223">
        <f>'🎯 ДАШБОРД'!B5</f>
        <v>31863327.789373539</v>
      </c>
      <c r="C14" s="110" t="s">
        <v>487</v>
      </c>
      <c r="D14" s="224" t="str">
        <f>IF('🎯 ДАШБОРД'!B5&lt;0,"⚠️ NPV отрицательный: "&amp;TEXT('🎯 ДАШБОРД'!B5,"#,##0"),"✅ OK: "&amp;TEXT('🎯 ДАШБОРД'!B5,"#,##0"))</f>
        <v>✅ OK: 31863327,789</v>
      </c>
      <c r="E14" s="225" t="s">
        <v>488</v>
      </c>
    </row>
    <row r="15" spans="1:5" x14ac:dyDescent="0.25">
      <c r="A15" s="37"/>
      <c r="B15" s="37"/>
      <c r="C15" s="37"/>
      <c r="D15" s="37"/>
    </row>
    <row r="16" spans="1:5" x14ac:dyDescent="0.25">
      <c r="A16" s="44" t="s">
        <v>59</v>
      </c>
      <c r="B16" s="37"/>
      <c r="C16" s="37"/>
      <c r="D16" s="37"/>
    </row>
    <row r="20" ht="15" customHeight="1" x14ac:dyDescent="0.3"/>
    <row r="23" ht="15" customHeight="1" x14ac:dyDescent="0.3"/>
    <row r="26" ht="15" customHeight="1" x14ac:dyDescent="0.3"/>
  </sheetData>
  <pageMargins left="0.75" right="0.75" top="1" bottom="1" header="0.511811023622047" footer="0.511811023622047"/>
  <pageSetup paperSize="9" orientation="portrait" horizontalDpi="300" verticalDpi="300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tabColor rgb="FF00B050"/>
  </sheetPr>
  <dimension ref="A1:I77"/>
  <sheetViews>
    <sheetView zoomScaleNormal="100" workbookViewId="0">
      <pane xSplit="2" ySplit="2" topLeftCell="C3" activePane="bottomRight" state="frozen"/>
      <selection pane="topRight" activeCell="C1" sqref="C1"/>
      <selection pane="bottomLeft" activeCell="A3" sqref="A3"/>
      <selection pane="bottomRight" activeCell="I57" sqref="I57"/>
    </sheetView>
  </sheetViews>
  <sheetFormatPr defaultColWidth="8.88671875" defaultRowHeight="12" x14ac:dyDescent="0.25"/>
  <cols>
    <col min="1" max="1" width="3.33203125" style="32" customWidth="1"/>
    <col min="2" max="2" width="40.77734375" style="32" customWidth="1"/>
    <col min="3" max="7" width="21.33203125" style="32" customWidth="1"/>
    <col min="8" max="8" width="2.21875" style="32" customWidth="1"/>
    <col min="9" max="9" width="38.88671875" style="32" customWidth="1"/>
    <col min="10" max="16384" width="8.88671875" style="32"/>
  </cols>
  <sheetData>
    <row r="1" spans="1:9" ht="18" customHeight="1" x14ac:dyDescent="0.3">
      <c r="A1" s="327" t="s">
        <v>489</v>
      </c>
      <c r="B1" s="327"/>
      <c r="C1" s="327"/>
      <c r="D1" s="327"/>
      <c r="E1" s="327"/>
      <c r="F1" s="327"/>
      <c r="G1" s="327"/>
      <c r="H1" s="231"/>
      <c r="I1" s="232"/>
    </row>
    <row r="2" spans="1:9" x14ac:dyDescent="0.25">
      <c r="A2" s="328" t="s">
        <v>490</v>
      </c>
      <c r="B2" s="328"/>
      <c r="C2" s="328"/>
      <c r="D2" s="328"/>
      <c r="E2" s="328"/>
      <c r="F2" s="328"/>
      <c r="G2" s="328"/>
      <c r="H2" s="233"/>
      <c r="I2" s="233"/>
    </row>
    <row r="4" spans="1:9" x14ac:dyDescent="0.25">
      <c r="B4" s="234" t="s">
        <v>491</v>
      </c>
      <c r="C4" s="97" t="s">
        <v>440</v>
      </c>
      <c r="D4" s="97" t="s">
        <v>492</v>
      </c>
      <c r="E4" s="97" t="s">
        <v>493</v>
      </c>
      <c r="F4" s="97" t="s">
        <v>494</v>
      </c>
      <c r="G4" s="235" t="s">
        <v>495</v>
      </c>
      <c r="I4" s="236" t="s">
        <v>496</v>
      </c>
    </row>
    <row r="5" spans="1:9" x14ac:dyDescent="0.25">
      <c r="B5" s="329" t="s">
        <v>497</v>
      </c>
      <c r="C5" s="329"/>
      <c r="D5" s="329"/>
      <c r="E5" s="329"/>
      <c r="F5" s="329"/>
      <c r="G5" s="329"/>
    </row>
    <row r="7" spans="1:9" x14ac:dyDescent="0.25">
      <c r="B7" s="101" t="s">
        <v>498</v>
      </c>
      <c r="C7" s="237">
        <v>0</v>
      </c>
      <c r="D7" s="238">
        <v>-0.1</v>
      </c>
      <c r="E7" s="238">
        <v>-0.2</v>
      </c>
      <c r="F7" s="238">
        <v>-0.35</v>
      </c>
      <c r="G7" s="238">
        <v>-0.5</v>
      </c>
      <c r="I7" s="239" t="s">
        <v>499</v>
      </c>
    </row>
    <row r="8" spans="1:9" x14ac:dyDescent="0.25">
      <c r="B8" s="101" t="s">
        <v>500</v>
      </c>
      <c r="C8" s="237">
        <v>0</v>
      </c>
      <c r="D8" s="238">
        <v>-0.05</v>
      </c>
      <c r="E8" s="238">
        <v>-0.1</v>
      </c>
      <c r="F8" s="238">
        <v>-0.2</v>
      </c>
      <c r="G8" s="238">
        <v>-0.3</v>
      </c>
      <c r="I8" s="239" t="s">
        <v>501</v>
      </c>
    </row>
    <row r="9" spans="1:9" x14ac:dyDescent="0.25">
      <c r="B9" s="101" t="s">
        <v>502</v>
      </c>
      <c r="C9" s="240">
        <v>0</v>
      </c>
      <c r="D9" s="238">
        <v>0.03</v>
      </c>
      <c r="E9" s="238">
        <v>0.05</v>
      </c>
      <c r="F9" s="238">
        <v>0.08</v>
      </c>
      <c r="G9" s="238">
        <v>0.12</v>
      </c>
      <c r="I9" s="239" t="s">
        <v>503</v>
      </c>
    </row>
    <row r="10" spans="1:9" x14ac:dyDescent="0.25">
      <c r="B10" s="101" t="s">
        <v>504</v>
      </c>
      <c r="C10" s="237">
        <v>0</v>
      </c>
      <c r="D10" s="238">
        <v>0.1</v>
      </c>
      <c r="E10" s="238">
        <v>0.2</v>
      </c>
      <c r="F10" s="238">
        <v>0.3</v>
      </c>
      <c r="G10" s="238">
        <v>0.5</v>
      </c>
      <c r="I10" s="239" t="s">
        <v>505</v>
      </c>
    </row>
    <row r="11" spans="1:9" x14ac:dyDescent="0.25">
      <c r="B11" s="101" t="s">
        <v>506</v>
      </c>
      <c r="C11" s="237">
        <v>0</v>
      </c>
      <c r="D11" s="238">
        <v>0.05</v>
      </c>
      <c r="E11" s="238">
        <v>0.1</v>
      </c>
      <c r="F11" s="238">
        <v>0.15</v>
      </c>
      <c r="G11" s="238">
        <v>0.25</v>
      </c>
      <c r="I11" s="239" t="s">
        <v>507</v>
      </c>
    </row>
    <row r="13" spans="1:9" x14ac:dyDescent="0.25">
      <c r="B13" s="241" t="s">
        <v>508</v>
      </c>
      <c r="C13" s="242"/>
      <c r="D13" s="242"/>
      <c r="E13" s="242"/>
      <c r="F13" s="242"/>
      <c r="G13" s="243"/>
    </row>
    <row r="14" spans="1:9" x14ac:dyDescent="0.25">
      <c r="B14" s="101" t="s">
        <v>350</v>
      </c>
      <c r="C14" s="244">
        <f>'⚙️ ПАРАМЕТРЫ'!C13</f>
        <v>70</v>
      </c>
      <c r="D14" s="245">
        <f>ROUND('⚙️ ПАРАМЕТРЫ'!C13*(1+D7),0)</f>
        <v>63</v>
      </c>
      <c r="E14" s="245">
        <f>ROUND('⚙️ ПАРАМЕТРЫ'!C13*(1+E7),0)</f>
        <v>56</v>
      </c>
      <c r="F14" s="245">
        <f>ROUND('⚙️ ПАРАМЕТРЫ'!C13*(1+F7),0)</f>
        <v>46</v>
      </c>
      <c r="G14" s="245">
        <f>ROUND('⚙️ ПАРАМЕТРЫ'!C13*(1+G7),0)</f>
        <v>35</v>
      </c>
    </row>
    <row r="15" spans="1:9" x14ac:dyDescent="0.25">
      <c r="B15" s="101" t="s">
        <v>509</v>
      </c>
      <c r="C15" s="246">
        <f>'⚙️ ПАРАМЕТРЫ'!C12</f>
        <v>1400</v>
      </c>
      <c r="D15" s="245">
        <f>ROUND('⚙️ ПАРАМЕТРЫ'!C12*(1+D8),0)</f>
        <v>1330</v>
      </c>
      <c r="E15" s="245">
        <f>ROUND('⚙️ ПАРАМЕТРЫ'!C12*(1+E8),0)</f>
        <v>1260</v>
      </c>
      <c r="F15" s="245">
        <f>ROUND('⚙️ ПАРАМЕТРЫ'!C12*(1+F8),0)</f>
        <v>1120</v>
      </c>
      <c r="G15" s="245">
        <f>ROUND('⚙️ ПАРАМЕТРЫ'!C12*(1+G8),0)</f>
        <v>980</v>
      </c>
    </row>
    <row r="16" spans="1:9" x14ac:dyDescent="0.25">
      <c r="B16" s="101" t="s">
        <v>510</v>
      </c>
      <c r="C16" s="247">
        <f>'⚙️ ПАРАМЕТРЫ'!C19</f>
        <v>0.35</v>
      </c>
      <c r="D16" s="248">
        <f>'⚙️ ПАРАМЕТРЫ'!C19+D9</f>
        <v>0.38</v>
      </c>
      <c r="E16" s="248">
        <f>'⚙️ ПАРАМЕТРЫ'!C19+E9</f>
        <v>0.39999999999999997</v>
      </c>
      <c r="F16" s="248">
        <f>'⚙️ ПАРАМЕТРЫ'!C19+F9</f>
        <v>0.43</v>
      </c>
      <c r="G16" s="248">
        <f>'⚙️ ПАРАМЕТРЫ'!C19+G9</f>
        <v>0.47</v>
      </c>
    </row>
    <row r="17" spans="2:7" x14ac:dyDescent="0.25">
      <c r="B17" s="101" t="s">
        <v>511</v>
      </c>
      <c r="C17" s="246">
        <f>'⚙️ ПАРАМЕТРЫ'!C23</f>
        <v>70000</v>
      </c>
      <c r="D17" s="249">
        <f>ROUND('⚙️ ПАРАМЕТРЫ'!C23*(1+D10),0)</f>
        <v>77000</v>
      </c>
      <c r="E17" s="249">
        <f>ROUND('⚙️ ПАРАМЕТРЫ'!C23*(1+E10),0)</f>
        <v>84000</v>
      </c>
      <c r="F17" s="249">
        <f>ROUND('⚙️ ПАРАМЕТРЫ'!C23*(1+F10),0)</f>
        <v>91000</v>
      </c>
      <c r="G17" s="249">
        <f>ROUND('⚙️ ПАРАМЕТРЫ'!C23*(1+G10),0)</f>
        <v>105000</v>
      </c>
    </row>
    <row r="18" spans="2:7" x14ac:dyDescent="0.25">
      <c r="B18" s="101" t="s">
        <v>512</v>
      </c>
      <c r="C18" s="246">
        <f>'📊 ДОПУЩЕНИЯ'!C62</f>
        <v>440000</v>
      </c>
      <c r="D18" s="249">
        <f>ROUND('📊 ДОПУЩЕНИЯ'!C62*(1+D11),0)</f>
        <v>462000</v>
      </c>
      <c r="E18" s="249">
        <f>ROUND('📊 ДОПУЩЕНИЯ'!C62*(1+E11),0)</f>
        <v>484000</v>
      </c>
      <c r="F18" s="249">
        <f>ROUND('📊 ДОПУЩЕНИЯ'!C62*(1+F11),0)</f>
        <v>506000</v>
      </c>
      <c r="G18" s="249">
        <f>ROUND('📊 ДОПУЩЕНИЯ'!C62*(1+G11),0)</f>
        <v>550000</v>
      </c>
    </row>
    <row r="19" spans="2:7" x14ac:dyDescent="0.25">
      <c r="C19" s="250"/>
      <c r="D19" s="250"/>
      <c r="E19" s="250"/>
      <c r="F19" s="250"/>
      <c r="G19" s="250"/>
    </row>
    <row r="20" spans="2:7" x14ac:dyDescent="0.25">
      <c r="B20" s="241" t="s">
        <v>513</v>
      </c>
      <c r="C20" s="251"/>
      <c r="D20" s="251"/>
      <c r="E20" s="251"/>
      <c r="F20" s="251"/>
      <c r="G20" s="252"/>
    </row>
    <row r="21" spans="2:7" x14ac:dyDescent="0.25">
      <c r="B21" s="253" t="s">
        <v>296</v>
      </c>
      <c r="C21" s="254">
        <f>AVERAGE('📈 P&amp;L'!O12:Z12)</f>
        <v>3398220</v>
      </c>
      <c r="D21" s="254">
        <f>ROUND(C21*(1+D7)*(1+D8),0)</f>
        <v>2905478</v>
      </c>
      <c r="E21" s="254">
        <f>ROUND(C21*(1+E7)*(1+E8),0)</f>
        <v>2446718</v>
      </c>
      <c r="F21" s="254">
        <f>ROUND(C21*(1+F7)*(1+F8),0)</f>
        <v>1767074</v>
      </c>
      <c r="G21" s="254">
        <f>ROUND(C21*(1+G7)*(1+G8),0)</f>
        <v>1189377</v>
      </c>
    </row>
    <row r="22" spans="2:7" x14ac:dyDescent="0.25">
      <c r="B22" s="255" t="s">
        <v>353</v>
      </c>
      <c r="C22" s="256">
        <f>ROUND(C21*C16,0)</f>
        <v>1189377</v>
      </c>
      <c r="D22" s="256">
        <f>ROUND(D21*D16,0)</f>
        <v>1104082</v>
      </c>
      <c r="E22" s="256">
        <f>ROUND(E21*E16,0)</f>
        <v>978687</v>
      </c>
      <c r="F22" s="256">
        <f>ROUND(F21*F16,0)</f>
        <v>759842</v>
      </c>
      <c r="G22" s="256">
        <f>ROUND(G21*G16,0)</f>
        <v>559007</v>
      </c>
    </row>
    <row r="23" spans="2:7" x14ac:dyDescent="0.25">
      <c r="B23" s="257" t="s">
        <v>354</v>
      </c>
      <c r="C23" s="258">
        <f>ROUND(C21*'⚙️ ПАРАМЕТРЫ'!C20,0)</f>
        <v>101947</v>
      </c>
      <c r="D23" s="258">
        <f>ROUND(D21*'⚙️ ПАРАМЕТРЫ'!C20,0)</f>
        <v>87164</v>
      </c>
      <c r="E23" s="258">
        <f>ROUND(E21*'⚙️ ПАРАМЕТРЫ'!C20,0)</f>
        <v>73402</v>
      </c>
      <c r="F23" s="258">
        <f>ROUND(F21*'⚙️ ПАРАМЕТРЫ'!C20,0)</f>
        <v>53012</v>
      </c>
      <c r="G23" s="258">
        <f>ROUND(G21*'⚙️ ПАРАМЕТРЫ'!C20,0)</f>
        <v>35681</v>
      </c>
    </row>
    <row r="24" spans="2:7" x14ac:dyDescent="0.25">
      <c r="B24" s="259" t="s">
        <v>355</v>
      </c>
      <c r="C24" s="260">
        <f>C21-C22-C23</f>
        <v>2106896</v>
      </c>
      <c r="D24" s="260">
        <f>D21-D22-D23</f>
        <v>1714232</v>
      </c>
      <c r="E24" s="260">
        <f>E21-E22-E23</f>
        <v>1394629</v>
      </c>
      <c r="F24" s="260">
        <f>F21-F22-F23</f>
        <v>954220</v>
      </c>
      <c r="G24" s="260">
        <f>G21-G22-G23</f>
        <v>594689</v>
      </c>
    </row>
    <row r="25" spans="2:7" x14ac:dyDescent="0.25">
      <c r="B25" s="261"/>
      <c r="C25" s="262"/>
      <c r="D25" s="262"/>
      <c r="E25" s="262"/>
      <c r="F25" s="262"/>
      <c r="G25" s="262"/>
    </row>
    <row r="26" spans="2:7" x14ac:dyDescent="0.25">
      <c r="B26" s="263" t="s">
        <v>514</v>
      </c>
      <c r="C26" s="264">
        <f>C18</f>
        <v>440000</v>
      </c>
      <c r="D26" s="264">
        <f>D18</f>
        <v>462000</v>
      </c>
      <c r="E26" s="264">
        <f>E18</f>
        <v>484000</v>
      </c>
      <c r="F26" s="264">
        <f>F18</f>
        <v>506000</v>
      </c>
      <c r="G26" s="264">
        <f>G18</f>
        <v>550000</v>
      </c>
    </row>
    <row r="27" spans="2:7" x14ac:dyDescent="0.25">
      <c r="B27" s="263" t="s">
        <v>178</v>
      </c>
      <c r="C27" s="264">
        <f>C17</f>
        <v>70000</v>
      </c>
      <c r="D27" s="264">
        <f>D17</f>
        <v>77000</v>
      </c>
      <c r="E27" s="264">
        <f>E17</f>
        <v>84000</v>
      </c>
      <c r="F27" s="264">
        <f>F17</f>
        <v>91000</v>
      </c>
      <c r="G27" s="264">
        <f>G17</f>
        <v>105000</v>
      </c>
    </row>
    <row r="28" spans="2:7" x14ac:dyDescent="0.25">
      <c r="B28" s="255" t="s">
        <v>515</v>
      </c>
      <c r="C28" s="256">
        <f>AVERAGE('📈 P&amp;L'!O25:Z25)+AVERAGE('📈 P&amp;L'!O26:Z26)+AVERAGE('📈 P&amp;L'!O27:Z27)+AVERAGE('📈 P&amp;L'!O28:Z28)+AVERAGE('📈 P&amp;L'!O29:Z29)</f>
        <v>88820</v>
      </c>
      <c r="D28" s="256">
        <f>C28</f>
        <v>88820</v>
      </c>
      <c r="E28" s="256">
        <f>C28</f>
        <v>88820</v>
      </c>
      <c r="F28" s="256">
        <f>C28</f>
        <v>88820</v>
      </c>
      <c r="G28" s="256">
        <f>C28</f>
        <v>88820</v>
      </c>
    </row>
    <row r="29" spans="2:7" x14ac:dyDescent="0.25">
      <c r="B29" s="265" t="s">
        <v>365</v>
      </c>
      <c r="C29" s="266">
        <f>C26+C27+C28</f>
        <v>598820</v>
      </c>
      <c r="D29" s="266">
        <f>D26+D27+D28</f>
        <v>627820</v>
      </c>
      <c r="E29" s="266">
        <f>E26+E27+E28</f>
        <v>656820</v>
      </c>
      <c r="F29" s="266">
        <f>F26+F27+F28</f>
        <v>685820</v>
      </c>
      <c r="G29" s="266">
        <f>G26+G27+G28</f>
        <v>743820</v>
      </c>
    </row>
    <row r="30" spans="2:7" x14ac:dyDescent="0.25">
      <c r="B30" s="259" t="s">
        <v>303</v>
      </c>
      <c r="C30" s="260">
        <f>C24-C29</f>
        <v>1508076</v>
      </c>
      <c r="D30" s="260">
        <f>D24-D29</f>
        <v>1086412</v>
      </c>
      <c r="E30" s="260">
        <f>E24-E29</f>
        <v>737809</v>
      </c>
      <c r="F30" s="260">
        <f>F24-F29</f>
        <v>268400</v>
      </c>
      <c r="G30" s="260">
        <f>G24-G29</f>
        <v>-149131</v>
      </c>
    </row>
    <row r="31" spans="2:7" x14ac:dyDescent="0.25">
      <c r="B31" s="263" t="s">
        <v>366</v>
      </c>
      <c r="C31" s="264">
        <f>'⚙️ ПАРАМЕТРЫ'!C42</f>
        <v>17857</v>
      </c>
      <c r="D31" s="264">
        <f>'⚙️ ПАРАМЕТРЫ'!C42</f>
        <v>17857</v>
      </c>
      <c r="E31" s="264">
        <f>'⚙️ ПАРАМЕТРЫ'!C42</f>
        <v>17857</v>
      </c>
      <c r="F31" s="264">
        <f>'⚙️ ПАРАМЕТРЫ'!C42</f>
        <v>17857</v>
      </c>
      <c r="G31" s="264">
        <f>'⚙️ ПАРАМЕТРЫ'!C42</f>
        <v>17857</v>
      </c>
    </row>
    <row r="32" spans="2:7" x14ac:dyDescent="0.25">
      <c r="B32" s="263" t="s">
        <v>368</v>
      </c>
      <c r="C32" s="264">
        <f>AVERAGE('📈 P&amp;L'!O34:Z34)</f>
        <v>10847.57185819119</v>
      </c>
      <c r="D32" s="264">
        <f>C32</f>
        <v>10847.57185819119</v>
      </c>
      <c r="E32" s="264">
        <f>C32</f>
        <v>10847.57185819119</v>
      </c>
      <c r="F32" s="264">
        <f>C32</f>
        <v>10847.57185819119</v>
      </c>
      <c r="G32" s="264">
        <f>C32</f>
        <v>10847.57185819119</v>
      </c>
    </row>
    <row r="33" spans="2:9" x14ac:dyDescent="0.25">
      <c r="B33" s="255" t="s">
        <v>516</v>
      </c>
      <c r="C33" s="256">
        <f>ROUND(MAX(C21,0)*'📊 ДОПУЩЕНИЯ'!C58,0)</f>
        <v>101947</v>
      </c>
      <c r="D33" s="256">
        <f>ROUND(MAX(D21,0)*'📊 ДОПУЩЕНИЯ'!C58,0)</f>
        <v>87164</v>
      </c>
      <c r="E33" s="256">
        <f>ROUND(MAX(E21,0)*'📊 ДОПУЩЕНИЯ'!C58,0)</f>
        <v>73402</v>
      </c>
      <c r="F33" s="256">
        <f>ROUND(MAX(F21,0)*'📊 ДОПУЩЕНИЯ'!C58,0)</f>
        <v>53012</v>
      </c>
      <c r="G33" s="256">
        <f>ROUND(MAX(G21,0)*'📊 ДОПУЩЕНИЯ'!C58,0)</f>
        <v>35681</v>
      </c>
    </row>
    <row r="34" spans="2:9" ht="12" customHeight="1" x14ac:dyDescent="0.25">
      <c r="B34" s="267"/>
      <c r="C34" s="268"/>
      <c r="D34" s="268"/>
      <c r="E34" s="268"/>
      <c r="F34" s="268"/>
      <c r="G34" s="268"/>
    </row>
    <row r="35" spans="2:9" ht="12" customHeight="1" x14ac:dyDescent="0.25">
      <c r="B35" s="269" t="s">
        <v>305</v>
      </c>
      <c r="C35" s="270">
        <f>C30-C31-C32-C33</f>
        <v>1377424.4281418088</v>
      </c>
      <c r="D35" s="270">
        <f>D30-D31-D32-D33</f>
        <v>970543.42814180884</v>
      </c>
      <c r="E35" s="270">
        <f>E30-E31-E32-E33</f>
        <v>635702.42814180884</v>
      </c>
      <c r="F35" s="270">
        <f>F30-F31-F32-F33</f>
        <v>186683.42814180881</v>
      </c>
      <c r="G35" s="270">
        <f>G30-G31-G32-G33</f>
        <v>-213516.57185819119</v>
      </c>
    </row>
    <row r="37" spans="2:9" x14ac:dyDescent="0.25">
      <c r="B37" s="241" t="s">
        <v>517</v>
      </c>
      <c r="C37" s="242"/>
      <c r="D37" s="242"/>
      <c r="E37" s="242"/>
      <c r="F37" s="242"/>
      <c r="G37" s="243"/>
    </row>
    <row r="38" spans="2:9" x14ac:dyDescent="0.25">
      <c r="B38" s="111" t="s">
        <v>518</v>
      </c>
      <c r="C38" s="271">
        <f>IFERROR(C35/C21,0)</f>
        <v>0.40533703766731077</v>
      </c>
      <c r="D38" s="272">
        <f>IFERROR(D35/D21,0)</f>
        <v>0.33403915918200339</v>
      </c>
      <c r="E38" s="272">
        <f>IFERROR(E35/E21,0)</f>
        <v>0.25981842948055672</v>
      </c>
      <c r="F38" s="272">
        <f>IFERROR(F35/F21,0)</f>
        <v>0.10564550672004047</v>
      </c>
      <c r="G38" s="272">
        <f>IFERROR(G35/G21,0)</f>
        <v>-0.17951967446670922</v>
      </c>
      <c r="I38" s="239" t="s">
        <v>519</v>
      </c>
    </row>
    <row r="39" spans="2:9" x14ac:dyDescent="0.25">
      <c r="B39" s="111" t="s">
        <v>520</v>
      </c>
      <c r="C39" s="273" t="s">
        <v>521</v>
      </c>
      <c r="D39" s="274">
        <f>D35-C35</f>
        <v>-406881</v>
      </c>
      <c r="E39" s="274">
        <f>E35-C35</f>
        <v>-741722</v>
      </c>
      <c r="F39" s="274">
        <f>F35-C35</f>
        <v>-1190741</v>
      </c>
      <c r="G39" s="274">
        <f>G35-C35</f>
        <v>-1590941</v>
      </c>
    </row>
    <row r="40" spans="2:9" x14ac:dyDescent="0.25">
      <c r="B40" s="111" t="s">
        <v>522</v>
      </c>
      <c r="C40" s="273" t="s">
        <v>521</v>
      </c>
      <c r="D40" s="275">
        <f>IFERROR(D39/C35,0)</f>
        <v>-0.29539261224581004</v>
      </c>
      <c r="E40" s="275">
        <f>IFERROR(E39/C35,0)</f>
        <v>-0.53848471454844715</v>
      </c>
      <c r="F40" s="275">
        <f>IFERROR(F39/C35,0)</f>
        <v>-0.86446920475074562</v>
      </c>
      <c r="G40" s="275">
        <f>IFERROR(G39/C35,0)</f>
        <v>-1.1550114601541024</v>
      </c>
    </row>
    <row r="41" spans="2:9" x14ac:dyDescent="0.25">
      <c r="B41" s="111" t="s">
        <v>523</v>
      </c>
      <c r="C41" s="276">
        <f>IFERROR(ROUND('⚙️ ПАРАМЕТРЫ'!C41/C35,0),"∞")</f>
        <v>2</v>
      </c>
      <c r="D41" s="277">
        <f>IFERROR(IF(D35&lt;=0,"∞",ROUND('⚙️ ПАРАМЕТРЫ'!C41/D35,0)),"∞")</f>
        <v>3</v>
      </c>
      <c r="E41" s="277">
        <f>IFERROR(IF(E35&lt;=0,"∞",ROUND('⚙️ ПАРАМЕТРЫ'!C41/E35,0)),"∞")</f>
        <v>4</v>
      </c>
      <c r="F41" s="277">
        <f>IFERROR(IF(F35&lt;=0,"∞",ROUND('⚙️ ПАРАМЕТРЫ'!C41/F35,0)),"∞")</f>
        <v>14</v>
      </c>
      <c r="G41" s="277" t="str">
        <f>IFERROR(IF(G35&lt;=0,"∞",ROUND('⚙️ ПАРАМЕТРЫ'!C41/G35,0)),"∞")</f>
        <v>∞</v>
      </c>
      <c r="I41" s="239" t="s">
        <v>524</v>
      </c>
    </row>
    <row r="42" spans="2:9" x14ac:dyDescent="0.25">
      <c r="B42" s="111" t="s">
        <v>525</v>
      </c>
      <c r="C42" s="271">
        <f>IFERROR(1-(C29+C31+C32+C33)/C24,0)</f>
        <v>0.65376953971235829</v>
      </c>
      <c r="D42" s="272">
        <f>IFERROR(1-(D29+D31+D32+D33)/D24,0)</f>
        <v>0.56616807301567629</v>
      </c>
      <c r="E42" s="272">
        <f>IFERROR(1-(E29+E31+E32+E33)/E24,0)</f>
        <v>0.45582189108487547</v>
      </c>
      <c r="F42" s="272">
        <f>IFERROR(1-(F29+F31+F32+F33)/F24,0)</f>
        <v>0.19563981905829775</v>
      </c>
      <c r="G42" s="272">
        <f>IFERROR(1-(G29+G31+G32+G33)/G24,0)</f>
        <v>-0.35903904706189471</v>
      </c>
      <c r="I42" s="239" t="s">
        <v>526</v>
      </c>
    </row>
    <row r="44" spans="2:9" x14ac:dyDescent="0.25">
      <c r="B44" s="234" t="s">
        <v>527</v>
      </c>
      <c r="C44" s="278"/>
      <c r="D44" s="278"/>
      <c r="E44" s="278"/>
      <c r="F44" s="278"/>
      <c r="G44" s="279"/>
    </row>
    <row r="45" spans="2:9" x14ac:dyDescent="0.25">
      <c r="B45" s="329" t="s">
        <v>528</v>
      </c>
      <c r="C45" s="329"/>
      <c r="D45" s="329"/>
      <c r="E45" s="329"/>
      <c r="F45" s="329"/>
      <c r="G45" s="329"/>
    </row>
    <row r="46" spans="2:9" x14ac:dyDescent="0.25">
      <c r="B46" s="100" t="s">
        <v>437</v>
      </c>
      <c r="C46" s="100" t="s">
        <v>529</v>
      </c>
      <c r="D46" s="100" t="s">
        <v>530</v>
      </c>
      <c r="E46" s="100" t="s">
        <v>531</v>
      </c>
      <c r="F46" s="100" t="s">
        <v>532</v>
      </c>
      <c r="G46" s="100" t="s">
        <v>533</v>
      </c>
    </row>
    <row r="47" spans="2:9" x14ac:dyDescent="0.25">
      <c r="B47" s="101" t="s">
        <v>534</v>
      </c>
      <c r="C47" s="280">
        <f>E7</f>
        <v>-0.2</v>
      </c>
      <c r="D47" s="281">
        <f>ROUND(C21*(1+E7)*(1-C16-'⚙️ ПАРАМЕТРЫ'!C20)-C29-C31-C32-ROUND(C21*(1+E7)*'📊 ДОПУЩЕНИЯ'!C58,0),0)</f>
        <v>976436</v>
      </c>
      <c r="E47" s="282">
        <f>D47-C35</f>
        <v>-400988.42814180884</v>
      </c>
      <c r="F47" s="283">
        <f>IFERROR(E47/C35,0)</f>
        <v>-0.29111464843320334</v>
      </c>
      <c r="G47" s="284">
        <f t="array" ref="G47">SUMPRODUCT((ABS($E$47:$E$51)&gt;ABS(E47))*1)+1</f>
        <v>1</v>
      </c>
    </row>
    <row r="48" spans="2:9" x14ac:dyDescent="0.25">
      <c r="B48" s="101" t="s">
        <v>535</v>
      </c>
      <c r="C48" s="280">
        <f>E8</f>
        <v>-0.1</v>
      </c>
      <c r="D48" s="281">
        <f>ROUND(C21*(1+E8)*(1-C16-'⚙️ ПАРАМЕТРЫ'!C20)-C29-C31-C32-ROUND(C21*(1+E8)*'📊 ДОПУЩЕНИЯ'!C58,0),0)</f>
        <v>1176930</v>
      </c>
      <c r="E48" s="282">
        <f>D48-C35</f>
        <v>-200494.42814180884</v>
      </c>
      <c r="F48" s="283">
        <f>IFERROR(E48/C35,0)</f>
        <v>-0.14555747963050319</v>
      </c>
      <c r="G48" s="284">
        <f t="array" ref="G48">SUMPRODUCT((ABS($E$47:$E$51)&gt;ABS(E48))*1)+1</f>
        <v>2</v>
      </c>
    </row>
    <row r="49" spans="2:7" x14ac:dyDescent="0.25">
      <c r="B49" s="101" t="s">
        <v>536</v>
      </c>
      <c r="C49" s="280">
        <f>E9</f>
        <v>0.05</v>
      </c>
      <c r="D49" s="281">
        <f>ROUND(C21*(1-C16-E9-'⚙️ ПАРАМЕТРЫ'!C20)-C29-C31-C32-ROUND(C21*'📊 ДОПУЩЕНИЯ'!C58,0),0)</f>
        <v>1207514</v>
      </c>
      <c r="E49" s="282">
        <f>D49-C35</f>
        <v>-169910.42814180884</v>
      </c>
      <c r="F49" s="283">
        <f>IFERROR(E49/C35,0)</f>
        <v>-0.12335372066184686</v>
      </c>
      <c r="G49" s="284">
        <f t="array" ref="G49">SUMPRODUCT((ABS($E$47:$E$51)&gt;ABS(E49))*1)+1</f>
        <v>3</v>
      </c>
    </row>
    <row r="50" spans="2:7" x14ac:dyDescent="0.25">
      <c r="B50" s="101" t="s">
        <v>537</v>
      </c>
      <c r="C50" s="280">
        <f>E10</f>
        <v>0.2</v>
      </c>
      <c r="D50" s="281">
        <f>C35-ROUND('⚙️ ПАРАМЕТРЫ'!C23*E10,0)</f>
        <v>1363424.4281418088</v>
      </c>
      <c r="E50" s="282">
        <f>D50-C35</f>
        <v>-14000</v>
      </c>
      <c r="F50" s="283">
        <f>IFERROR(E50/C35,0)</f>
        <v>-1.0163896990622175E-2</v>
      </c>
      <c r="G50" s="284">
        <f t="array" ref="G50">SUMPRODUCT((ABS($E$47:$E$51)&gt;ABS(E50))*1)+1</f>
        <v>5</v>
      </c>
    </row>
    <row r="51" spans="2:7" x14ac:dyDescent="0.25">
      <c r="B51" s="101" t="s">
        <v>538</v>
      </c>
      <c r="C51" s="280">
        <f>E11</f>
        <v>0.1</v>
      </c>
      <c r="D51" s="281">
        <f>C35-ROUND('📊 ДОПУЩЕНИЯ'!C62*E11,0)</f>
        <v>1333424.4281418088</v>
      </c>
      <c r="E51" s="282">
        <f>D51-C35</f>
        <v>-44000</v>
      </c>
      <c r="F51" s="283">
        <f>IFERROR(E51/C35,0)</f>
        <v>-3.1943676256241116E-2</v>
      </c>
      <c r="G51" s="284">
        <f t="array" ref="G51">SUMPRODUCT((ABS($E$47:$E$51)&gt;ABS(E51))*1)+1</f>
        <v>4</v>
      </c>
    </row>
    <row r="53" spans="2:7" x14ac:dyDescent="0.25">
      <c r="B53" s="234" t="s">
        <v>539</v>
      </c>
      <c r="C53" s="278"/>
      <c r="D53" s="278"/>
      <c r="E53" s="278"/>
      <c r="F53" s="278"/>
      <c r="G53" s="279"/>
    </row>
    <row r="54" spans="2:7" x14ac:dyDescent="0.25">
      <c r="B54" s="329" t="s">
        <v>540</v>
      </c>
      <c r="C54" s="329"/>
      <c r="D54" s="329"/>
      <c r="E54" s="329"/>
      <c r="F54" s="329"/>
      <c r="G54" s="329"/>
    </row>
    <row r="56" spans="2:7" x14ac:dyDescent="0.25">
      <c r="B56" s="100" t="s">
        <v>63</v>
      </c>
      <c r="C56" s="100" t="s">
        <v>64</v>
      </c>
      <c r="D56" s="285" t="s">
        <v>65</v>
      </c>
      <c r="E56" s="285"/>
      <c r="F56" s="285"/>
      <c r="G56" s="285"/>
    </row>
    <row r="57" spans="2:7" x14ac:dyDescent="0.25">
      <c r="B57" s="263" t="s">
        <v>541</v>
      </c>
      <c r="C57" s="286">
        <f>ROUND('⚙️ ПАРАМЕТРЫ'!C12*(1-'⚙️ ПАРАМЕТРЫ'!C19-'⚙️ ПАРАМЕТРЫ'!C20-'📊 ДОПУЩЕНИЯ'!C58),0)</f>
        <v>826</v>
      </c>
      <c r="D57" s="287" t="s">
        <v>542</v>
      </c>
      <c r="E57" s="288" t="s">
        <v>543</v>
      </c>
    </row>
    <row r="58" spans="2:7" x14ac:dyDescent="0.25">
      <c r="B58" s="263" t="s">
        <v>544</v>
      </c>
      <c r="C58" s="286">
        <f>C29+C31+C32</f>
        <v>627524.57185819116</v>
      </c>
      <c r="D58" s="287" t="s">
        <v>103</v>
      </c>
    </row>
    <row r="59" spans="2:7" x14ac:dyDescent="0.25">
      <c r="B59" s="263" t="s">
        <v>545</v>
      </c>
      <c r="C59" s="286">
        <f>IFERROR(ROUNDUP(C58/(C57*'⚙️ ПАРАМЕТРЫ'!C14),0),"∞")</f>
        <v>26</v>
      </c>
      <c r="D59" s="287" t="s">
        <v>87</v>
      </c>
      <c r="E59" s="288" t="s">
        <v>546</v>
      </c>
    </row>
    <row r="60" spans="2:7" x14ac:dyDescent="0.25">
      <c r="B60" s="263" t="s">
        <v>547</v>
      </c>
      <c r="C60" s="289">
        <f>IFERROR(1-C59/'⚙️ ПАРАМЕТРЫ'!C13,0)</f>
        <v>0.62857142857142856</v>
      </c>
      <c r="D60" s="287" t="s">
        <v>77</v>
      </c>
      <c r="E60" s="288" t="s">
        <v>548</v>
      </c>
    </row>
    <row r="62" spans="2:7" x14ac:dyDescent="0.25">
      <c r="B62" s="234" t="s">
        <v>549</v>
      </c>
      <c r="C62" s="278"/>
      <c r="D62" s="278"/>
      <c r="E62" s="278"/>
      <c r="F62" s="278"/>
      <c r="G62" s="279"/>
    </row>
    <row r="63" spans="2:7" x14ac:dyDescent="0.25">
      <c r="B63" s="329" t="s">
        <v>550</v>
      </c>
      <c r="C63" s="329"/>
      <c r="D63" s="329"/>
      <c r="E63" s="329"/>
      <c r="F63" s="329"/>
      <c r="G63" s="329"/>
    </row>
    <row r="64" spans="2:7" x14ac:dyDescent="0.25">
      <c r="B64" s="290"/>
      <c r="C64" s="100" t="s">
        <v>440</v>
      </c>
      <c r="D64" s="100" t="s">
        <v>551</v>
      </c>
      <c r="E64" s="100" t="s">
        <v>552</v>
      </c>
      <c r="F64" s="100" t="s">
        <v>553</v>
      </c>
      <c r="G64" s="100" t="s">
        <v>495</v>
      </c>
    </row>
    <row r="65" spans="1:9" x14ac:dyDescent="0.25">
      <c r="B65" s="101" t="s">
        <v>554</v>
      </c>
      <c r="C65" s="286">
        <f>C57</f>
        <v>826</v>
      </c>
      <c r="D65" s="291">
        <f>ROUND('⚙️ ПАРАМЕТРЫ'!C12*(1+D8)*(1-'⚙️ ПАРАМЕТРЫ'!C19-D9-'⚙️ ПАРАМЕТРЫ'!C20-'📊 ДОПУЩЕНИЯ'!C58),0)</f>
        <v>745</v>
      </c>
      <c r="E65" s="291">
        <f>ROUND('⚙️ ПАРАМЕТРЫ'!C12*(1+E8)*(1-'⚙️ ПАРАМЕТРЫ'!C19-E9-'⚙️ ПАРАМЕТРЫ'!C20-'📊 ДОПУЩЕНИЯ'!C58),0)</f>
        <v>680</v>
      </c>
      <c r="F65" s="291">
        <f>ROUND('⚙️ ПАРАМЕТРЫ'!C12*(1+F8)*(1-'⚙️ ПАРАМЕТРЫ'!C19-F9-'⚙️ ПАРАМЕТРЫ'!C20-'📊 ДОПУЩЕНИЯ'!C58),0)</f>
        <v>571</v>
      </c>
      <c r="G65" s="291">
        <f>ROUND('⚙️ ПАРАМЕТРЫ'!C12*(1+G8)*(1-'⚙️ ПАРАМЕТРЫ'!C19-G9-'⚙️ ПАРАМЕТРЫ'!C20-'📊 ДОПУЩЕНИЯ'!C58),0)</f>
        <v>461</v>
      </c>
    </row>
    <row r="66" spans="1:9" x14ac:dyDescent="0.25">
      <c r="B66" s="101" t="s">
        <v>555</v>
      </c>
      <c r="C66" s="286">
        <f>C58</f>
        <v>627524.57185819116</v>
      </c>
      <c r="D66" s="291">
        <f>D29+D31+D32</f>
        <v>656524.57185819116</v>
      </c>
      <c r="E66" s="291">
        <f>E29+E31+E32</f>
        <v>685524.57185819116</v>
      </c>
      <c r="F66" s="291">
        <f>F29+F31+F32</f>
        <v>714524.57185819116</v>
      </c>
      <c r="G66" s="291">
        <f>G29+G31+G32</f>
        <v>772524.57185819116</v>
      </c>
    </row>
    <row r="67" spans="1:9" x14ac:dyDescent="0.25">
      <c r="B67" s="101" t="s">
        <v>556</v>
      </c>
      <c r="C67" s="286">
        <f>C59</f>
        <v>26</v>
      </c>
      <c r="D67" s="291">
        <f>IFERROR(ROUNDUP(D66/(D65*'⚙️ ПАРАМЕТРЫ'!C14),0),"∞")</f>
        <v>30</v>
      </c>
      <c r="E67" s="291">
        <f>IFERROR(ROUNDUP(E66/(E65*'⚙️ ПАРАМЕТРЫ'!C14),0),"∞")</f>
        <v>34</v>
      </c>
      <c r="F67" s="291">
        <f>IFERROR(ROUNDUP(F66/(F65*'⚙️ ПАРАМЕТРЫ'!C14),0),"∞")</f>
        <v>42</v>
      </c>
      <c r="G67" s="291">
        <f>IFERROR(ROUNDUP(G66/(G65*'⚙️ ПАРАМЕТРЫ'!C14),0),"∞")</f>
        <v>56</v>
      </c>
    </row>
    <row r="68" spans="1:9" x14ac:dyDescent="0.25">
      <c r="B68" s="101" t="s">
        <v>557</v>
      </c>
      <c r="C68" s="286">
        <f>C14</f>
        <v>70</v>
      </c>
      <c r="D68" s="291">
        <f>D14</f>
        <v>63</v>
      </c>
      <c r="E68" s="291">
        <f>E14</f>
        <v>56</v>
      </c>
      <c r="F68" s="291">
        <f>F14</f>
        <v>46</v>
      </c>
      <c r="G68" s="291">
        <f>G14</f>
        <v>35</v>
      </c>
    </row>
    <row r="69" spans="1:9" ht="14.25" customHeight="1" x14ac:dyDescent="0.25">
      <c r="B69" s="111" t="s">
        <v>558</v>
      </c>
      <c r="C69" s="292" t="str">
        <f>IF(C67&lt;=C68,"✅ OK","❌ Убыток")</f>
        <v>✅ OK</v>
      </c>
      <c r="D69" s="293" t="str">
        <f>IF(D67&lt;=D68,"✅ OK","❌ Убыток")</f>
        <v>✅ OK</v>
      </c>
      <c r="E69" s="293" t="str">
        <f>IF(E67&lt;=E68,"✅ OK","❌ Убыток")</f>
        <v>✅ OK</v>
      </c>
      <c r="F69" s="293" t="str">
        <f>IF(F67&lt;=F68,"✅ OK","❌ Убыток")</f>
        <v>✅ OK</v>
      </c>
      <c r="G69" s="293" t="str">
        <f>IF(G67&lt;=G68,"✅ OK","❌ Убыток")</f>
        <v>❌ Убыток</v>
      </c>
    </row>
    <row r="71" spans="1:9" x14ac:dyDescent="0.25">
      <c r="B71" s="330" t="s">
        <v>559</v>
      </c>
      <c r="C71" s="330"/>
      <c r="D71" s="330"/>
      <c r="E71" s="330"/>
      <c r="F71" s="330"/>
      <c r="G71" s="330"/>
    </row>
    <row r="73" spans="1:9" x14ac:dyDescent="0.25">
      <c r="A73" s="117" t="s">
        <v>560</v>
      </c>
      <c r="B73" s="203"/>
      <c r="C73" s="203"/>
      <c r="D73" s="203"/>
      <c r="E73" s="203"/>
      <c r="F73" s="203"/>
      <c r="G73" s="203"/>
      <c r="H73" s="294"/>
      <c r="I73" s="294"/>
    </row>
    <row r="74" spans="1:9" x14ac:dyDescent="0.25">
      <c r="B74" s="295" t="s">
        <v>561</v>
      </c>
      <c r="C74" s="296" t="str">
        <f>IF(C35&gt;0,"Проект жизнеспособен. Рентабельность "&amp;TEXT(C38,"0%")&amp;", окупаемость ~"&amp;C41&amp;" мес.","❌ Проект убыточен даже в базовом сценарии.")</f>
        <v>Проект жизнеспособен. Рентабельность 41%, окупаемость ~2 мес.</v>
      </c>
    </row>
    <row r="75" spans="1:9" x14ac:dyDescent="0.25">
      <c r="B75" s="297" t="s">
        <v>562</v>
      </c>
      <c r="C75" s="298" t="str">
        <f>IF(D35&gt;0,"При умеренном снижении спроса проект остаётся прибыльным. Запас: "&amp;TEXT(D41,"0")&amp;" мес. до окупаемости.","⚠️ Уже при мягком стрессе проект убыточен.")</f>
        <v>При умеренном снижении спроса проект остаётся прибыльным. Запас: 3 мес. до окупаемости.</v>
      </c>
    </row>
    <row r="76" spans="1:9" x14ac:dyDescent="0.25">
      <c r="B76" s="297" t="s">
        <v>563</v>
      </c>
      <c r="C76" s="298" t="str">
        <f>IF(F35&gt;0,"При серьёзном стрессе прибыль падает на "&amp;TEXT(ABS(F40),"0%")&amp;". Но бизнес выживает.","❌ В жёстком сценарии бизнес убыточен. Снижайте постоянные расходы.")</f>
        <v>При серьёзном стрессе прибыль падает на 86%. Но бизнес выживает.</v>
      </c>
    </row>
    <row r="77" spans="1:9" x14ac:dyDescent="0.25">
      <c r="B77" s="299" t="s">
        <v>564</v>
      </c>
      <c r="C77" s="300" t="str">
        <f>IF(G35&gt;0,"Даже в критическом сценарии бизнес выживает — вы в безопасности.","❌ Бизнес убыточен. Рекомендация: снизить постоянные расходы или увеличить средний чек.")</f>
        <v>❌ Бизнес убыточен. Рекомендация: снизить постоянные расходы или увеличить средний чек.</v>
      </c>
    </row>
  </sheetData>
  <mergeCells count="7">
    <mergeCell ref="B63:G63"/>
    <mergeCell ref="B71:G71"/>
    <mergeCell ref="A1:G1"/>
    <mergeCell ref="A2:G2"/>
    <mergeCell ref="B5:G5"/>
    <mergeCell ref="B45:G45"/>
    <mergeCell ref="B54:G54"/>
  </mergeCells>
  <conditionalFormatting sqref="D35:G35">
    <cfRule type="expression" dxfId="4" priority="2">
      <formula>D35&lt;0</formula>
    </cfRule>
    <cfRule type="expression" dxfId="3" priority="3">
      <formula>D35&gt;0</formula>
    </cfRule>
  </conditionalFormatting>
  <conditionalFormatting sqref="D39:G39">
    <cfRule type="expression" dxfId="2" priority="4">
      <formula>D39&lt;0</formula>
    </cfRule>
  </conditionalFormatting>
  <conditionalFormatting sqref="C69:G69">
    <cfRule type="expression" dxfId="1" priority="5">
      <formula>LEFT(C69,1)="❌"</formula>
    </cfRule>
    <cfRule type="expression" dxfId="0" priority="6">
      <formula>LEFT(C69,1)="✅"</formula>
    </cfRule>
  </conditionalFormatting>
  <pageMargins left="0.7" right="0.7" top="0.75" bottom="0.75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12</vt:i4>
      </vt:variant>
    </vt:vector>
  </HeadingPairs>
  <TitlesOfParts>
    <vt:vector size="12" baseType="lpstr">
      <vt:lpstr>📋 НАВИГАЦИЯ</vt:lpstr>
      <vt:lpstr>📖 КАК ЧИТАТЬ МОДЕЛЬ</vt:lpstr>
      <vt:lpstr>⚙️ ПАРАМЕТРЫ</vt:lpstr>
      <vt:lpstr>📊 ДОПУЩЕНИЯ</vt:lpstr>
      <vt:lpstr>🎯 ДАШБОРД</vt:lpstr>
      <vt:lpstr>📈 P&amp;L</vt:lpstr>
      <vt:lpstr>💰 CASH FLOW</vt:lpstr>
      <vt:lpstr>📋 КРЕДИТ</vt:lpstr>
      <vt:lpstr>📑 БАЛАНС</vt:lpstr>
      <vt:lpstr>🔄 СЦЕНАРИИ</vt:lpstr>
      <vt:lpstr>✅ ПРОВЕРКА</vt:lpstr>
      <vt:lpstr>🔥 СТРЕСС-ТЕСТ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Oxana Drozdova</cp:lastModifiedBy>
  <cp:revision>0</cp:revision>
  <dcterms:created xsi:type="dcterms:W3CDTF">2026-04-04T02:36:32Z</dcterms:created>
  <dcterms:modified xsi:type="dcterms:W3CDTF">2026-04-04T18:53:30Z</dcterms:modified>
  <dc:language>en-US</dc:language>
</cp:coreProperties>
</file>