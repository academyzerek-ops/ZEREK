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05" firstSheet="0" activeTab="3" autoFilterDateGrouping="1"/>
  </bookViews>
  <sheets>
    <sheet xmlns:r="http://schemas.openxmlformats.org/officeDocument/2006/relationships" name="📋 НАВИГАЦИЯ" sheetId="1" state="visible" r:id="rId1"/>
    <sheet xmlns:r="http://schemas.openxmlformats.org/officeDocument/2006/relationships" name="⚙️ ПАРАМЕТРЫ" sheetId="2" state="visible" r:id="rId2"/>
    <sheet xmlns:r="http://schemas.openxmlformats.org/officeDocument/2006/relationships" name="📊 ДОПУЩЕНИЯ" sheetId="3" state="visible" r:id="rId3"/>
    <sheet xmlns:r="http://schemas.openxmlformats.org/officeDocument/2006/relationships" name="🎯 ДАШБОРД" sheetId="4" state="visible" r:id="rId4"/>
    <sheet xmlns:r="http://schemas.openxmlformats.org/officeDocument/2006/relationships" name="📈 P&amp;L" sheetId="5" state="visible" r:id="rId5"/>
    <sheet xmlns:r="http://schemas.openxmlformats.org/officeDocument/2006/relationships" name="💰 CASH FLOW" sheetId="6" state="visible" r:id="rId6"/>
    <sheet xmlns:r="http://schemas.openxmlformats.org/officeDocument/2006/relationships" name="📑 БАЛАНС" sheetId="7" state="visible" r:id="rId7"/>
    <sheet xmlns:r="http://schemas.openxmlformats.org/officeDocument/2006/relationships" name="🔄 ЧУВСТВИТЕЛЬНОСТЬ" sheetId="8" state="visible" r:id="rId8"/>
    <sheet xmlns:r="http://schemas.openxmlformats.org/officeDocument/2006/relationships" name="✅ ПРОВЕРКА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&quot; ₸&quot;;\(#,##0&quot; ₸)&quot;;\-"/>
    <numFmt numFmtId="166" formatCode="0&quot; мес&quot;"/>
    <numFmt numFmtId="167" formatCode="0.000"/>
    <numFmt numFmtId="168" formatCode="#,##0&quot; ₸&quot;"/>
  </numFmts>
  <fonts count="22">
    <font>
      <name val="Calibri"/>
      <charset val="1"/>
      <family val="2"/>
      <color theme="1"/>
      <sz val="11"/>
    </font>
    <font>
      <name val="Times New Roman"/>
      <charset val="1"/>
      <b val="1"/>
      <color rgb="FFFFFFFF"/>
      <sz val="12"/>
    </font>
    <font>
      <name val="Times New Roman"/>
      <charset val="1"/>
      <color rgb="FF1F3864"/>
      <sz val="9"/>
    </font>
    <font>
      <name val="Times New Roman"/>
      <charset val="1"/>
      <b val="1"/>
      <color rgb="FF1F3864"/>
      <sz val="10"/>
    </font>
    <font>
      <name val="Times New Roman"/>
      <charset val="1"/>
      <color rgb="FF1565C0"/>
      <sz val="10"/>
      <u val="single"/>
    </font>
    <font>
      <name val="Times New Roman"/>
      <charset val="1"/>
      <color rgb="FF000000"/>
      <sz val="9"/>
    </font>
    <font>
      <name val="Times New Roman"/>
      <charset val="1"/>
      <i val="1"/>
      <color rgb="FF999999"/>
      <sz val="8"/>
    </font>
    <font>
      <name val="Times New Roman"/>
      <charset val="1"/>
      <i val="1"/>
      <color rgb="FF444444"/>
      <sz val="8"/>
    </font>
    <font>
      <name val="Times New Roman"/>
      <charset val="1"/>
      <b val="1"/>
      <color rgb="FFFFFFFF"/>
      <sz val="10"/>
    </font>
    <font>
      <name val="Times New Roman"/>
      <charset val="1"/>
      <b val="1"/>
      <color rgb="FFFFFFFF"/>
      <sz val="9"/>
    </font>
    <font>
      <name val="Times New Roman"/>
      <charset val="1"/>
      <color rgb="FF0000FF"/>
      <sz val="9"/>
    </font>
    <font>
      <name val="Times New Roman"/>
      <charset val="1"/>
      <color rgb="FF666666"/>
      <sz val="9"/>
    </font>
    <font>
      <name val="Times New Roman"/>
      <charset val="1"/>
      <b val="1"/>
      <color rgb="FF000000"/>
      <sz val="9"/>
    </font>
    <font>
      <name val="Times New Roman"/>
      <charset val="1"/>
      <b val="1"/>
      <color rgb="FF1F3864"/>
      <sz val="12"/>
    </font>
    <font>
      <name val="Times New Roman"/>
      <charset val="1"/>
      <color rgb="FF555555"/>
      <sz val="7"/>
    </font>
    <font>
      <name val="Times New Roman"/>
      <charset val="204"/>
      <family val="1"/>
      <b val="1"/>
      <color rgb="FF000000"/>
      <sz val="9"/>
    </font>
    <font>
      <name val="Times New Roman"/>
      <charset val="204"/>
      <family val="1"/>
      <b val="1"/>
      <color theme="0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sz val="10"/>
      <u val="single"/>
    </font>
    <font>
      <name val="Times New Roman"/>
      <charset val="204"/>
      <family val="1"/>
      <sz val="9"/>
    </font>
    <font>
      <name val="Times New Roman"/>
      <charset val="204"/>
      <family val="1"/>
      <b val="1"/>
      <color theme="0"/>
      <sz val="12"/>
    </font>
  </fonts>
  <fills count="14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2F2F2"/>
      </patternFill>
    </fill>
    <fill>
      <patternFill patternType="solid">
        <fgColor rgb="FFEEF2FF"/>
        <bgColor rgb="FFF2F2F2"/>
      </patternFill>
    </fill>
    <fill>
      <patternFill patternType="solid">
        <fgColor rgb="FF2E74B5"/>
        <bgColor rgb="FF1565C0"/>
      </patternFill>
    </fill>
    <fill>
      <patternFill patternType="solid">
        <fgColor rgb="FFF2F2F2"/>
        <bgColor rgb="FFEEF2FF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CCCC"/>
        <bgColor rgb="FFFFC7CE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4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2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165" fontId="12" fillId="9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8" fontId="5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3" fontId="10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168" fontId="15" fillId="10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0" fillId="12" borderId="0" applyAlignment="1" pivotButton="0" quotePrefix="0" xfId="0">
      <alignment vertical="center"/>
    </xf>
    <xf numFmtId="0" fontId="16" fillId="12" borderId="4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0" fontId="19" fillId="13" borderId="0" applyAlignment="1" pivotButton="0" quotePrefix="0" xfId="0">
      <alignment vertical="center"/>
    </xf>
    <xf numFmtId="0" fontId="20" fillId="13" borderId="1" applyAlignment="1" pivotButton="0" quotePrefix="0" xfId="0">
      <alignment horizontal="left" vertical="center" wrapText="1"/>
    </xf>
    <xf numFmtId="0" fontId="20" fillId="13" borderId="4" applyAlignment="1" pivotButton="0" quotePrefix="0" xfId="0">
      <alignment horizontal="left" vertical="center" wrapText="1"/>
    </xf>
    <xf numFmtId="0" fontId="20" fillId="13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7" pivotButton="0" quotePrefix="0" xfId="0"/>
    <xf numFmtId="168" fontId="15" fillId="10" borderId="1" applyAlignment="1" pivotButton="0" quotePrefix="0" xfId="0">
      <alignment horizontal="center" vertical="center"/>
    </xf>
    <xf numFmtId="168" fontId="5" fillId="10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12" fillId="9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</cellXfs>
  <cellStyles count="1">
    <cellStyle name="Обычный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2EFDA"/>
      <rgbColor rgb="FF4A148C"/>
      <rgbColor rgb="FFE6510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6EFCE"/>
      <rgbColor rgb="FFFCE4D6"/>
      <rgbColor rgb="FFF2F2F2"/>
      <rgbColor rgb="FFFFC7CE"/>
      <rgbColor rgb="FFCC99FF"/>
      <rgbColor rgb="FFFFCCCC"/>
      <rgbColor rgb="FF2E74B5"/>
      <rgbColor rgb="FF33CCCC"/>
      <rgbColor rgb="FF99CC00"/>
      <rgbColor rgb="FFFFCC00"/>
      <rgbColor rgb="FFFFA000"/>
      <rgbColor rgb="FFFF6F00"/>
      <rgbColor rgb="FF666666"/>
      <rgbColor rgb="FF999999"/>
      <rgbColor rgb="FF1F3864"/>
      <rgbColor rgb="FF339966"/>
      <rgbColor rgb="FF003300"/>
      <rgbColor rgb="FF555555"/>
      <rgbColor rgb="FFB71C1C"/>
      <rgbColor rgb="FF993366"/>
      <rgbColor rgb="FF0D47A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ZEREK_FinModel_&#1050;&#1086;&#1092;&#1077;&#1081;&#1085;&#1103;_&#1040;&#1082;&#1090;&#1086;&#1073;&#1077;.xlsx" TargetMode="External" Id="rId1"/><Relationship Type="http://schemas.openxmlformats.org/officeDocument/2006/relationships/hyperlink" Target="ZEREK_FinModel_&#1050;&#1086;&#1092;&#1077;&#1081;&#1085;&#1103;_&#1040;&#1082;&#1090;&#1086;&#1073;&#1077;.xlsx" TargetMode="External" Id="rId2"/><Relationship Type="http://schemas.openxmlformats.org/officeDocument/2006/relationships/hyperlink" Target="ZEREK_FinModel_&#1050;&#1086;&#1092;&#1077;&#1081;&#1085;&#1103;_&#1040;&#1082;&#1090;&#1086;&#1073;&#1077;.xlsx" TargetMode="External" Id="rId3"/><Relationship Type="http://schemas.openxmlformats.org/officeDocument/2006/relationships/hyperlink" Target="ZEREK_FinModel_&#1050;&#1086;&#1092;&#1077;&#1081;&#1085;&#1103;_&#1040;&#1082;&#1090;&#1086;&#1073;&#1077;.xlsx" TargetMode="External" Id="rId4"/><Relationship Type="http://schemas.openxmlformats.org/officeDocument/2006/relationships/hyperlink" Target="ZEREK_FinModel_&#1050;&#1086;&#1092;&#1077;&#1081;&#1085;&#1103;_&#1040;&#1082;&#1090;&#1086;&#1073;&#1077;.xlsx" TargetMode="External" Id="rId5"/><Relationship Type="http://schemas.openxmlformats.org/officeDocument/2006/relationships/hyperlink" Target="ZEREK_FinModel_&#1050;&#1086;&#1092;&#1077;&#1081;&#1085;&#1103;_&#1040;&#1082;&#1090;&#1086;&#1073;&#1077;.xlsx" TargetMode="External" Id="rId6"/><Relationship Type="http://schemas.openxmlformats.org/officeDocument/2006/relationships/hyperlink" Target="ZEREK_FinModel_&#1050;&#1086;&#1092;&#1077;&#1081;&#1085;&#1103;_&#1040;&#1082;&#1090;&#1086;&#1073;&#1077;.xlsx" TargetMode="External" Id="rId7"/><Relationship Type="http://schemas.openxmlformats.org/officeDocument/2006/relationships/hyperlink" Target="ZEREK_FinModel_&#1050;&#1086;&#1092;&#1077;&#1081;&#1085;&#1103;_&#1040;&#1082;&#1090;&#1086;&#1073;&#1077;.xlsx" TargetMode="External" Id="rId8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C24"/>
  <sheetViews>
    <sheetView zoomScaleNormal="100" workbookViewId="0">
      <selection activeCell="E12" sqref="E12"/>
    </sheetView>
  </sheetViews>
  <sheetFormatPr baseColWidth="8" defaultColWidth="8.6640625" defaultRowHeight="14.4"/>
  <cols>
    <col width="3" customWidth="1" style="40" min="1" max="1"/>
    <col width="25" customWidth="1" style="40" min="2" max="2"/>
    <col width="55" customWidth="1" style="40" min="3" max="3"/>
    <col width="8.6640625" customWidth="1" style="40" min="4" max="16384"/>
  </cols>
  <sheetData>
    <row r="1" ht="27.75" customHeight="1">
      <c r="A1" s="6">
        <f>"ФИНАНСОВАЯ МОДЕЛЬ — "&amp;UPPER('⚙️ ПАРАМЕТРЫ'!C5)</f>
        <v/>
      </c>
      <c r="B1" s="65" t="n"/>
      <c r="C1" s="66" t="n"/>
    </row>
    <row r="2">
      <c r="A2" s="5">
        <f>"Город: "&amp;'⚙️ ПАРАМЕТРЫ'!C6&amp;"  |  Горизонт: 36 месяцев (3 года)  |  ZEREK"</f>
        <v/>
      </c>
      <c r="B2" s="65" t="n"/>
      <c r="C2" s="65" t="n"/>
    </row>
    <row r="3">
      <c r="A3" s="48" t="n"/>
      <c r="B3" s="49" t="inlineStr">
        <is>
          <t>СОДЕРЖАНИЕ</t>
        </is>
      </c>
    </row>
    <row r="5">
      <c r="A5" s="54" t="n">
        <v>1</v>
      </c>
      <c r="B5" s="55" t="inlineStr">
        <is>
          <t>⚙️ ПАРАМЕТРЫ</t>
        </is>
      </c>
      <c r="C5" s="56" t="inlineStr">
        <is>
          <t>Все вводные модели. Жёлтые ячейки = редактируемые.</t>
        </is>
      </c>
    </row>
    <row r="6">
      <c r="A6" s="54" t="n">
        <v>2</v>
      </c>
      <c r="B6" s="55" t="inlineStr">
        <is>
          <t>📊 ДОПУЩЕНИЯ</t>
        </is>
      </c>
      <c r="C6" s="56" t="inlineStr">
        <is>
          <t>Сезонность, ramp-up, инфляция по статьям.</t>
        </is>
      </c>
    </row>
    <row r="7">
      <c r="A7" s="54" t="n">
        <v>3</v>
      </c>
      <c r="B7" s="55" t="inlineStr">
        <is>
          <t>🎯 ДАШБОРД</t>
        </is>
      </c>
      <c r="C7" s="56" t="inlineStr">
        <is>
          <t>NPV, IRR, PP, BEP, ROI — ключевые показатели.</t>
        </is>
      </c>
    </row>
    <row r="8">
      <c r="A8" s="54" t="n">
        <v>4</v>
      </c>
      <c r="B8" s="55" t="inlineStr">
        <is>
          <t>📈 P&amp;L</t>
        </is>
      </c>
      <c r="C8" s="56" t="inlineStr">
        <is>
          <t>Отчёт о прибылях и убытках, 36 месяцев.</t>
        </is>
      </c>
    </row>
    <row r="9">
      <c r="A9" s="54" t="n">
        <v>5</v>
      </c>
      <c r="B9" s="55" t="inlineStr">
        <is>
          <t>💰 CASH FLOW</t>
        </is>
      </c>
      <c r="C9" s="56" t="inlineStr">
        <is>
          <t>Движение денежных средств, 36 месяцев.</t>
        </is>
      </c>
    </row>
    <row r="10">
      <c r="A10" s="54" t="n">
        <v>6</v>
      </c>
      <c r="B10" s="55" t="inlineStr">
        <is>
          <t>📑 БАЛАНС</t>
        </is>
      </c>
      <c r="C10" s="56" t="inlineStr">
        <is>
          <t>Упрощённый баланс поквартально.</t>
        </is>
      </c>
    </row>
    <row r="11">
      <c r="A11" s="54" t="n">
        <v>7</v>
      </c>
      <c r="B11" s="55" t="inlineStr">
        <is>
          <t>🔄 ЧУВСТВИТЕЛЬНОСТЬ</t>
        </is>
      </c>
      <c r="C11" s="56" t="inlineStr">
        <is>
          <t>Что если изменить ключевые параметры?</t>
        </is>
      </c>
    </row>
    <row r="12">
      <c r="A12" s="54" t="n">
        <v>8</v>
      </c>
      <c r="B12" s="55" t="inlineStr">
        <is>
          <t>✅ ПРОВЕРКА</t>
        </is>
      </c>
      <c r="C12" s="56" t="inlineStr">
        <is>
          <t>Контрольные суммы и проверка формул.</t>
        </is>
      </c>
    </row>
    <row r="13" ht="7.8" customHeight="1">
      <c r="A13" s="52" t="n"/>
      <c r="B13" s="51" t="n"/>
      <c r="C13" s="53" t="n"/>
    </row>
    <row r="14">
      <c r="A14" s="48" t="n"/>
      <c r="B14" s="49" t="inlineStr">
        <is>
          <t>ИНСТРУКЦИЯ</t>
        </is>
      </c>
    </row>
    <row r="16" ht="19.8" customHeight="1">
      <c r="A16" s="54" t="n">
        <v>1</v>
      </c>
      <c r="B16" s="57" t="inlineStr">
        <is>
          <t>Откройте ⚙️ ПАРАМЕТРЫ — введите данные в жёлтые ячейки</t>
        </is>
      </c>
    </row>
    <row r="17" ht="19.8" customHeight="1">
      <c r="A17" s="54" t="n">
        <v>2</v>
      </c>
      <c r="B17" s="57" t="inlineStr">
        <is>
          <t>Настройте 📊 ДОПУЩЕНИЯ — сезонность под ваш регион</t>
        </is>
      </c>
    </row>
    <row r="18" ht="19.8" customHeight="1">
      <c r="A18" s="54" t="n">
        <v>3</v>
      </c>
      <c r="B18" s="57" t="inlineStr">
        <is>
          <t>Результаты на 🎯 ДАШБОРДЕ — автоматически</t>
        </is>
      </c>
    </row>
    <row r="19" ht="19.8" customHeight="1">
      <c r="A19" s="54" t="n">
        <v>4</v>
      </c>
      <c r="B19" s="57" t="inlineStr">
        <is>
          <t>📈 P&amp;L и 💰 CASH FLOW — помесячная детализация</t>
        </is>
      </c>
    </row>
    <row r="20" ht="19.8" customHeight="1">
      <c r="A20" s="54" t="n">
        <v>5</v>
      </c>
      <c r="B20" s="57" t="inlineStr">
        <is>
          <t>🔄 ЧУВСТВИТЕЛЬНОСТЬ — стресс-тест параметров</t>
        </is>
      </c>
    </row>
    <row r="21" ht="19.8" customHeight="1">
      <c r="A21" s="54" t="n">
        <v>6</v>
      </c>
      <c r="B21" s="57" t="inlineStr">
        <is>
          <t>✅ ПРОВЕРКА — все формулы должны показать OK</t>
        </is>
      </c>
    </row>
    <row r="24">
      <c r="B24" s="42" t="inlineStr">
        <is>
          <t>Сформировано: ZEREK — аналитика для предпринимателей КЗ | 04.04.2026 | @zerekai_bot</t>
        </is>
      </c>
    </row>
  </sheetData>
  <mergeCells count="10">
    <mergeCell ref="B21:C21"/>
    <mergeCell ref="B16:C16"/>
    <mergeCell ref="A1:C1"/>
    <mergeCell ref="B3:C3"/>
    <mergeCell ref="B19:C19"/>
    <mergeCell ref="B20:C20"/>
    <mergeCell ref="B14:C14"/>
    <mergeCell ref="B17:C17"/>
    <mergeCell ref="B18:C18"/>
    <mergeCell ref="A2:C2"/>
  </mergeCells>
  <hyperlinks>
    <hyperlink xmlns:r="http://schemas.openxmlformats.org/officeDocument/2006/relationships" ref="B5" location="'⚙️%20ПАРАМЕТРЫ'!A1" r:id="rId1"/>
    <hyperlink xmlns:r="http://schemas.openxmlformats.org/officeDocument/2006/relationships" ref="B6" location="'📊%20ДОПУЩЕНИЯ'!A1" r:id="rId2"/>
    <hyperlink xmlns:r="http://schemas.openxmlformats.org/officeDocument/2006/relationships" ref="B7" location="'🎯%20ДАШБОРД'!A1" r:id="rId3"/>
    <hyperlink xmlns:r="http://schemas.openxmlformats.org/officeDocument/2006/relationships" ref="B8" location="'📈%20P&amp;L'!A1" r:id="rId4"/>
    <hyperlink xmlns:r="http://schemas.openxmlformats.org/officeDocument/2006/relationships" ref="B9" location="'💰%20CASH%20FLOW'!A1" r:id="rId5"/>
    <hyperlink xmlns:r="http://schemas.openxmlformats.org/officeDocument/2006/relationships" ref="B10" location="'📑%20БАЛАНС'!A1" r:id="rId6"/>
    <hyperlink xmlns:r="http://schemas.openxmlformats.org/officeDocument/2006/relationships" ref="B11" location="'🔄%20ЧУВСТВИТЕЛЬНОСТЬ'!A1" r:id="rId7"/>
    <hyperlink xmlns:r="http://schemas.openxmlformats.org/officeDocument/2006/relationships" ref="B12" location="'✅%20ПРОВЕРКА'!A1" r:id="rId8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A000"/>
    <outlinePr summaryBelow="1" summaryRight="1"/>
    <pageSetUpPr/>
  </sheetPr>
  <dimension ref="A1:E59"/>
  <sheetViews>
    <sheetView topLeftCell="A34" zoomScaleNormal="100" workbookViewId="0">
      <selection activeCell="C54" sqref="C54"/>
    </sheetView>
  </sheetViews>
  <sheetFormatPr baseColWidth="8" defaultColWidth="8.6640625" defaultRowHeight="14.4"/>
  <cols>
    <col width="3" customWidth="1" style="40" min="1" max="1"/>
    <col width="38" customWidth="1" style="40" min="2" max="2"/>
    <col width="18" customWidth="1" style="41" min="3" max="3"/>
    <col width="10" customWidth="1" style="41" min="4" max="4"/>
    <col width="75.88671875" customWidth="1" style="40" min="5" max="5"/>
    <col width="8.6640625" customWidth="1" style="40" min="6" max="16384"/>
  </cols>
  <sheetData>
    <row r="1" ht="27.75" customHeight="1">
      <c r="A1" s="6">
        <f>"ПАРАМЕТРЫ МОДЕЛИ — "&amp;UPPER(C5)</f>
        <v/>
      </c>
      <c r="B1" s="65" t="n"/>
      <c r="C1" s="65" t="n"/>
      <c r="D1" s="65" t="n"/>
      <c r="E1" s="66" t="n"/>
    </row>
    <row r="2" ht="15" customHeight="1">
      <c r="A2" s="8" t="inlineStr">
        <is>
          <t>📌 Правило: меняйте только жёлтые ячейки. Синий текст = введённое число. Чёрный текст = формула (не трогать). Все листы пересчитываются автоматически.</t>
        </is>
      </c>
    </row>
    <row r="3">
      <c r="A3" s="9" t="inlineStr">
        <is>
          <t>0. ОБЩИЕ ПАРАМЕТРЫ</t>
        </is>
      </c>
      <c r="B3" s="65" t="n"/>
      <c r="C3" s="65" t="n"/>
      <c r="D3" s="65" t="n"/>
      <c r="E3" s="66" t="n"/>
    </row>
    <row r="4">
      <c r="A4" s="10" t="n"/>
      <c r="B4" s="10" t="inlineStr">
        <is>
          <t>Параметр</t>
        </is>
      </c>
      <c r="C4" s="10" t="inlineStr">
        <is>
          <t>Значение</t>
        </is>
      </c>
      <c r="D4" s="10" t="inlineStr">
        <is>
          <t>Ед.</t>
        </is>
      </c>
      <c r="E4" s="10" t="inlineStr">
        <is>
          <t>Пояснение (дисклеймер)</t>
        </is>
      </c>
    </row>
    <row r="5">
      <c r="A5" s="11" t="n"/>
      <c r="B5" s="11" t="inlineStr">
        <is>
          <t>Название бизнеса</t>
        </is>
      </c>
      <c r="C5" s="37" t="inlineStr">
        <is>
          <t>Кофейня: Кофе с собой</t>
        </is>
      </c>
      <c r="E5" s="12" t="inlineStr">
        <is>
          <t>💡 Отображается в заголовках всех листов модели</t>
        </is>
      </c>
    </row>
    <row r="6">
      <c r="A6" s="11" t="n"/>
      <c r="B6" s="11" t="inlineStr">
        <is>
          <t>Город</t>
        </is>
      </c>
      <c r="C6" s="37" t="inlineStr">
        <is>
          <t>Актобе</t>
        </is>
      </c>
      <c r="E6" s="12" t="inlineStr">
        <is>
          <t>💡 Влияет на ценовой коэффициент, аренду и ставку налога</t>
        </is>
      </c>
    </row>
    <row r="7">
      <c r="A7" s="11" t="n"/>
      <c r="B7" s="11" t="inlineStr">
        <is>
          <t>Форма собственности</t>
        </is>
      </c>
      <c r="C7" s="37" t="inlineStr">
        <is>
          <t>ИП</t>
        </is>
      </c>
      <c r="E7" s="12" t="inlineStr">
        <is>
          <t>💡 ИП: прибыль можно забирать свободно. ТОО: через дивиденды (5% ИПН)</t>
        </is>
      </c>
    </row>
    <row r="8">
      <c r="A8" s="11" t="n"/>
      <c r="B8" s="11" t="inlineStr">
        <is>
          <t>Налоговый режим</t>
        </is>
      </c>
      <c r="C8" s="37" t="inlineStr">
        <is>
          <t>УСН</t>
        </is>
      </c>
      <c r="E8" s="12" t="inlineStr">
        <is>
          <t>💡 Упрощённая: 2-4% от оборота. Порог: 600 000 МРП (~2.6 млрд ₸). Для B2C — оптимально</t>
        </is>
      </c>
    </row>
    <row r="9">
      <c r="A9" s="11" t="n"/>
      <c r="B9" s="11" t="inlineStr">
        <is>
          <t>Ставка налога (маслихат)</t>
        </is>
      </c>
      <c r="C9" s="16" t="n">
        <v>0.03</v>
      </c>
      <c r="D9" s="38" t="inlineStr">
        <is>
          <t>%</t>
        </is>
      </c>
      <c r="E9" s="12" t="inlineStr">
        <is>
          <t>💡 Маслихат вашего города может понизить ставку на 1% от НК. Актобе: 3%</t>
        </is>
      </c>
    </row>
    <row r="10">
      <c r="A10" s="11" t="n"/>
      <c r="B10" s="11" t="inlineStr">
        <is>
          <t>Горизонт модели</t>
        </is>
      </c>
      <c r="C10" s="37" t="n">
        <v>36</v>
      </c>
      <c r="D10" s="38" t="inlineStr">
        <is>
          <t>мес</t>
        </is>
      </c>
      <c r="E10" s="12" t="inlineStr">
        <is>
          <t>💡 36 месяцев = 3 года. Стандартный горизонт для МСБ</t>
        </is>
      </c>
    </row>
    <row r="11">
      <c r="A11" s="9" t="inlineStr">
        <is>
          <t>1. ВЫРУЧКА</t>
        </is>
      </c>
      <c r="B11" s="65" t="n"/>
      <c r="C11" s="65" t="n"/>
      <c r="D11" s="65" t="n"/>
      <c r="E11" s="66" t="n"/>
    </row>
    <row r="12">
      <c r="A12" s="10" t="n"/>
      <c r="B12" s="10" t="inlineStr">
        <is>
          <t>Параметр</t>
        </is>
      </c>
      <c r="C12" s="10" t="inlineStr">
        <is>
          <t>Значение</t>
        </is>
      </c>
      <c r="D12" s="10" t="inlineStr">
        <is>
          <t>Ед.</t>
        </is>
      </c>
      <c r="E12" s="10" t="inlineStr">
        <is>
          <t>Пояснение (дисклеймер)</t>
        </is>
      </c>
    </row>
    <row r="13">
      <c r="A13" s="11" t="n"/>
      <c r="B13" s="11" t="inlineStr">
        <is>
          <t>Средний чек (корзина)</t>
        </is>
      </c>
      <c r="C13" s="43" t="n">
        <v>1400</v>
      </c>
      <c r="D13" s="38" t="inlineStr">
        <is>
          <t>₸</t>
        </is>
      </c>
      <c r="E13" s="12" t="inlineStr">
        <is>
          <t>💡 Типовая корзина покупки 1 клиента. Не 1 товар, а вся покупка целиком</t>
        </is>
      </c>
    </row>
    <row r="14">
      <c r="A14" s="11" t="n"/>
      <c r="B14" s="11" t="inlineStr">
        <is>
          <t>Клиентов в день (на полной мощности)</t>
        </is>
      </c>
      <c r="C14" s="37" t="n">
        <v>70</v>
      </c>
      <c r="D14" s="38" t="inlineStr">
        <is>
          <t>чел/день</t>
        </is>
      </c>
      <c r="E14" s="12" t="inlineStr">
        <is>
          <t>💡 Базовый трафик после выхода на полную мощность. В первые месяцы будет меньше (ramp-up)</t>
        </is>
      </c>
    </row>
    <row r="15">
      <c r="A15" s="11" t="n"/>
      <c r="B15" s="11" t="inlineStr">
        <is>
          <t>Рабочих дней в месяце</t>
        </is>
      </c>
      <c r="C15" s="37" t="n">
        <v>30</v>
      </c>
      <c r="D15" s="38" t="inlineStr">
        <is>
          <t>дней</t>
        </is>
      </c>
      <c r="E15" s="12" t="inlineStr">
        <is>
          <t>💡 Для большинства МСБ = 30 дней (общепит, услуги). Для офисных = 22</t>
        </is>
      </c>
    </row>
    <row r="16">
      <c r="A16" s="11" t="n"/>
      <c r="B16" s="11" t="inlineStr">
        <is>
          <t>Рост трафика в год</t>
        </is>
      </c>
      <c r="C16" s="16" t="n">
        <v>0.07000000000000001</v>
      </c>
      <c r="D16" s="38" t="inlineStr">
        <is>
          <t>%</t>
        </is>
      </c>
      <c r="E16" s="12" t="inlineStr">
        <is>
          <t>💡 Органический рост базы клиентов: повторные + новые. 5-10% для МСБ</t>
        </is>
      </c>
    </row>
    <row r="17">
      <c r="A17" s="11" t="n"/>
      <c r="B17" s="11" t="inlineStr">
        <is>
          <t>Рост среднего чека в год</t>
        </is>
      </c>
      <c r="C17" s="16" t="n">
        <v>0.08</v>
      </c>
      <c r="D17" s="38" t="inlineStr">
        <is>
          <t>%</t>
        </is>
      </c>
      <c r="E17" s="12" t="inlineStr">
        <is>
          <t>💡 Инфляция + допродажи. В КЗ инфляция ~10%, чек растёт ~8%</t>
        </is>
      </c>
    </row>
    <row r="18">
      <c r="A18" s="9" t="inlineStr">
        <is>
          <t>2. ПРЯМЫЕ РАСХОДЫ</t>
        </is>
      </c>
      <c r="B18" s="65" t="n"/>
      <c r="C18" s="65" t="n"/>
      <c r="D18" s="65" t="n"/>
      <c r="E18" s="66" t="n"/>
    </row>
    <row r="19">
      <c r="A19" s="10" t="n"/>
      <c r="B19" s="10" t="inlineStr">
        <is>
          <t>Параметр</t>
        </is>
      </c>
      <c r="C19" s="10" t="inlineStr">
        <is>
          <t>Значение</t>
        </is>
      </c>
      <c r="D19" s="10" t="inlineStr">
        <is>
          <t>Ед.</t>
        </is>
      </c>
      <c r="E19" s="10" t="inlineStr">
        <is>
          <t>Пояснение (дисклеймер)</t>
        </is>
      </c>
    </row>
    <row r="20">
      <c r="A20" s="11" t="n"/>
      <c r="B20" s="11" t="inlineStr">
        <is>
          <t>Себестоимость (% от выручки)</t>
        </is>
      </c>
      <c r="C20" s="16" t="n">
        <v>0.35</v>
      </c>
      <c r="D20" s="38" t="inlineStr">
        <is>
          <t>%</t>
        </is>
      </c>
      <c r="E20" s="12" t="inlineStr">
        <is>
          <t>💡 Прямые затраты: продукты, материалы, расходники. Общепит: 30-40%, услуги: 5-15%, торговля: 60-75%</t>
        </is>
      </c>
    </row>
    <row r="21">
      <c r="A21" s="11" t="n"/>
      <c r="B21" s="11" t="inlineStr">
        <is>
          <t>Потери и списания (% от выручки)</t>
        </is>
      </c>
      <c r="C21" s="16" t="n">
        <v>0.03</v>
      </c>
      <c r="D21" s="38" t="inlineStr">
        <is>
          <t>%</t>
        </is>
      </c>
      <c r="E21" s="12" t="inlineStr">
        <is>
          <t>💡 Брак, просрочка, бой, усушка. Общепит: 3-5%, торговля: 1-3%</t>
        </is>
      </c>
    </row>
    <row r="22">
      <c r="A22" s="9" t="inlineStr">
        <is>
          <t>3. ПОСТОЯННЫЕ РАСХОДЫ</t>
        </is>
      </c>
      <c r="B22" s="65" t="n"/>
      <c r="C22" s="65" t="n"/>
      <c r="D22" s="65" t="n"/>
      <c r="E22" s="66" t="n"/>
    </row>
    <row r="23">
      <c r="A23" s="10" t="n"/>
      <c r="B23" s="10" t="inlineStr">
        <is>
          <t>Параметр</t>
        </is>
      </c>
      <c r="C23" s="10" t="inlineStr">
        <is>
          <t>Значение</t>
        </is>
      </c>
      <c r="D23" s="10" t="inlineStr">
        <is>
          <t>Ед.</t>
        </is>
      </c>
      <c r="E23" s="10" t="inlineStr">
        <is>
          <t>Пояснение (дисклеймер)</t>
        </is>
      </c>
    </row>
    <row r="24">
      <c r="A24" s="11" t="n"/>
      <c r="B24" s="11" t="inlineStr">
        <is>
          <t>Аренда помещения</t>
        </is>
      </c>
      <c r="C24" s="43" t="n">
        <v>70000</v>
      </c>
      <c r="D24" s="38" t="inlineStr">
        <is>
          <t>₸/мес</t>
        </is>
      </c>
      <c r="E24" s="12" t="inlineStr">
        <is>
          <t>💡 Ежемесячная аренда. Зависит от локации, площади, города. Актобе 1-я линия: ~3000-5000 ₸/м²</t>
        </is>
      </c>
    </row>
    <row r="25">
      <c r="A25" s="11" t="n"/>
      <c r="B25" s="11" t="inlineStr">
        <is>
          <t>Площадь помещения</t>
        </is>
      </c>
      <c r="C25" s="37" t="n">
        <v>6</v>
      </c>
      <c r="D25" s="38" t="inlineStr">
        <is>
          <t>м²</t>
        </is>
      </c>
      <c r="E25" s="12" t="inlineStr">
        <is>
          <t>💡 Типовая площадь для формата</t>
        </is>
      </c>
    </row>
    <row r="26">
      <c r="A26" s="11" t="n"/>
      <c r="B26" s="11" t="inlineStr">
        <is>
          <t>ФОТ чистый (все сотрудники на руки)</t>
        </is>
      </c>
      <c r="C26" s="43" t="n">
        <v>150000</v>
      </c>
      <c r="D26" s="38" t="inlineStr">
        <is>
          <t>₸/мес</t>
        </is>
      </c>
      <c r="E26" s="12" t="inlineStr">
        <is>
          <t>💡 Сумма зарплат ВСЕХ сотрудников на руки (до налогов работодателя)</t>
        </is>
      </c>
    </row>
    <row r="27">
      <c r="A27" s="11" t="n"/>
      <c r="B27" s="11" t="inlineStr">
        <is>
          <t>Количество сотрудников</t>
        </is>
      </c>
      <c r="C27" s="37" t="n">
        <v>1</v>
      </c>
      <c r="D27" s="38" t="inlineStr">
        <is>
          <t>чел</t>
        </is>
      </c>
      <c r="E27" s="12" t="inlineStr">
        <is>
          <t>💡 Штат на полную мощность</t>
        </is>
      </c>
    </row>
    <row r="28">
      <c r="A28" s="11" t="n"/>
      <c r="B28" s="11" t="inlineStr">
        <is>
          <t>Коммунальные</t>
        </is>
      </c>
      <c r="C28" s="43" t="n">
        <v>8400</v>
      </c>
      <c r="D28" s="38" t="inlineStr">
        <is>
          <t>₸/мес</t>
        </is>
      </c>
      <c r="E28" s="12" t="inlineStr">
        <is>
          <t>💡 Электричество, вода, отопление, вывоз мусора</t>
        </is>
      </c>
    </row>
    <row r="29">
      <c r="A29" s="11" t="n"/>
      <c r="B29" s="11" t="inlineStr">
        <is>
          <t>Маркетинг</t>
        </is>
      </c>
      <c r="C29" s="43" t="n">
        <v>10500</v>
      </c>
      <c r="D29" s="38" t="inlineStr">
        <is>
          <t>₸/мес</t>
        </is>
      </c>
      <c r="E29" s="12" t="inlineStr">
        <is>
          <t>💡 Ежемесячный бюджет: Instagram, 2ГИС, акции. Базовый сценарий: 30-80 тыс</t>
        </is>
      </c>
    </row>
    <row r="30">
      <c r="A30" s="11" t="n"/>
      <c r="B30" s="11" t="inlineStr">
        <is>
          <t>Расходники</t>
        </is>
      </c>
      <c r="C30" s="43" t="n">
        <v>3500</v>
      </c>
      <c r="D30" s="38" t="inlineStr">
        <is>
          <t>₸/мес</t>
        </is>
      </c>
      <c r="E30" s="12" t="inlineStr">
        <is>
          <t>💡 Мелкие расходные материалы, не вошедшие в себестоимость</t>
        </is>
      </c>
    </row>
    <row r="31">
      <c r="A31" s="11" t="n"/>
      <c r="B31" s="11" t="inlineStr">
        <is>
          <t>Софт / касса / CRM</t>
        </is>
      </c>
      <c r="C31" s="43" t="n">
        <v>5000</v>
      </c>
      <c r="D31" s="38" t="inlineStr">
        <is>
          <t>₸/мес</t>
        </is>
      </c>
      <c r="E31" s="12" t="inlineStr">
        <is>
          <t>💡 Kaspi касса, iiko, Poster или аналоги</t>
        </is>
      </c>
    </row>
    <row r="32">
      <c r="A32" s="11" t="n"/>
      <c r="B32" s="11" t="inlineStr">
        <is>
          <t>Прочие расходы</t>
        </is>
      </c>
      <c r="C32" s="37" t="n">
        <v>0</v>
      </c>
      <c r="D32" s="38" t="inlineStr">
        <is>
          <t>₸/мес</t>
        </is>
      </c>
      <c r="E32" s="12" t="inlineStr">
        <is>
          <t>💡 Транспорт, связь, канцелярия, СЭЗ</t>
        </is>
      </c>
    </row>
    <row r="33">
      <c r="A33" s="11" t="n"/>
      <c r="B33" s="11" t="inlineStr">
        <is>
          <t>Рост аренды в год</t>
        </is>
      </c>
      <c r="C33" s="16" t="n">
        <v>0.1</v>
      </c>
      <c r="D33" s="38" t="inlineStr">
        <is>
          <t>%</t>
        </is>
      </c>
      <c r="E33" s="12" t="inlineStr">
        <is>
          <t>💡 Арендодатели в КЗ индексируют на 8-12% ежегодно</t>
        </is>
      </c>
    </row>
    <row r="34">
      <c r="A34" s="11" t="n"/>
      <c r="B34" s="11" t="inlineStr">
        <is>
          <t>Рост ФОТ в год</t>
        </is>
      </c>
      <c r="C34" s="16" t="n">
        <v>0.08</v>
      </c>
      <c r="D34" s="38" t="inlineStr">
        <is>
          <t>%</t>
        </is>
      </c>
      <c r="E34" s="12" t="inlineStr">
        <is>
          <t>💡 Зарплаты в КЗ растут на 6-10% в год</t>
        </is>
      </c>
    </row>
    <row r="35">
      <c r="A35" s="11" t="n"/>
      <c r="B35" s="11" t="inlineStr">
        <is>
          <t>Инфляция прочих расходов</t>
        </is>
      </c>
      <c r="C35" s="16" t="n">
        <v>0.1</v>
      </c>
      <c r="D35" s="38" t="inlineStr">
        <is>
          <t>%</t>
        </is>
      </c>
      <c r="E35" s="12" t="inlineStr">
        <is>
          <t>💡 Общая инфляция ~10%. Коммуналка, маркетинг, расходники</t>
        </is>
      </c>
    </row>
    <row r="36">
      <c r="A36" s="9" t="inlineStr">
        <is>
          <t>4. СТАРТОВЫЕ ИНВЕСТИЦИИ</t>
        </is>
      </c>
      <c r="B36" s="65" t="n"/>
      <c r="C36" s="65" t="n"/>
      <c r="D36" s="65" t="n"/>
      <c r="E36" s="66" t="n"/>
    </row>
    <row r="37">
      <c r="A37" s="10" t="n"/>
      <c r="B37" s="10" t="inlineStr">
        <is>
          <t>Параметр</t>
        </is>
      </c>
      <c r="C37" s="10" t="inlineStr">
        <is>
          <t>Значение</t>
        </is>
      </c>
      <c r="D37" s="10" t="inlineStr">
        <is>
          <t>Ед.</t>
        </is>
      </c>
      <c r="E37" s="10" t="inlineStr">
        <is>
          <t>Пояснение (дисклеймер)</t>
        </is>
      </c>
    </row>
    <row r="38">
      <c r="A38" s="11" t="n"/>
      <c r="B38" s="11" t="inlineStr">
        <is>
          <t>CAPEX (оборудование + ремонт)</t>
        </is>
      </c>
      <c r="C38" s="43" t="n">
        <v>800000</v>
      </c>
      <c r="D38" s="38" t="inlineStr">
        <is>
          <t>₸</t>
        </is>
      </c>
      <c r="E38" s="12" t="inlineStr">
        <is>
          <t>💡 Кофемашина, кофемолка, холодильная витрина</t>
        </is>
      </c>
    </row>
    <row r="39">
      <c r="A39" s="11" t="n"/>
      <c r="B39" s="11" t="inlineStr">
        <is>
          <t>Депозит за аренду</t>
        </is>
      </c>
      <c r="C39" s="37" t="n">
        <v>2</v>
      </c>
      <c r="D39" s="38" t="inlineStr">
        <is>
          <t>мес</t>
        </is>
      </c>
      <c r="E39" s="12" t="inlineStr">
        <is>
          <t>💡 Залог арендодателю. Обычно 2-3 месяца. Возвращается при выезде</t>
        </is>
      </c>
    </row>
    <row r="40">
      <c r="A40" s="11" t="n"/>
      <c r="B40" s="11" t="inlineStr">
        <is>
          <t>Оборотный капитал (резерв)</t>
        </is>
      </c>
      <c r="C40" s="43" t="n">
        <v>160000</v>
      </c>
      <c r="D40" s="38" t="inlineStr">
        <is>
          <t>₸</t>
        </is>
      </c>
      <c r="E40" s="12" t="inlineStr">
        <is>
          <t>💡 Деньги на первые 2-3 месяца: аренда + зарплаты + закупки до выхода в плюс</t>
        </is>
      </c>
    </row>
    <row r="41">
      <c r="A41" s="11" t="n"/>
      <c r="B41" s="11" t="inlineStr">
        <is>
          <t>Срок амортизации</t>
        </is>
      </c>
      <c r="C41" s="37" t="n">
        <v>7</v>
      </c>
      <c r="D41" s="38" t="inlineStr">
        <is>
          <t>лет</t>
        </is>
      </c>
      <c r="E41" s="12" t="inlineStr">
        <is>
          <t>💡 Линейная амортизация. Оборудование: 5-7 лет, ремонт: 3-5 лет</t>
        </is>
      </c>
    </row>
    <row r="42">
      <c r="A42" s="14" t="n"/>
      <c r="B42" s="44" t="inlineStr">
        <is>
          <t>ИТОГО ИНВЕСТИЦИИ</t>
        </is>
      </c>
      <c r="C42" s="67">
        <f>C38+C24*C39+C40</f>
        <v/>
      </c>
      <c r="E42" s="12" t="inlineStr">
        <is>
          <t>💡 Сумма: CAPEX + депозит аренды + оборотный капитал. Это ваши полные начальные вложения.</t>
        </is>
      </c>
    </row>
    <row r="43">
      <c r="A43" s="14" t="n"/>
      <c r="B43" s="14" t="inlineStr">
        <is>
          <t>Амортизация в месяц</t>
        </is>
      </c>
      <c r="C43" s="68">
        <f>ROUND(C38/C41/12,0)</f>
        <v/>
      </c>
      <c r="E43" s="12" t="inlineStr">
        <is>
          <t>💡 Ежемесячное списание стоимости оборудования. Не денежный расход, но влияет на прибыль.</t>
        </is>
      </c>
    </row>
    <row r="44" ht="20.4" customHeight="1">
      <c r="A44" s="14" t="n"/>
      <c r="B44" s="14" t="inlineStr">
        <is>
          <t>ФОТ с налогами работодателя (×1.175)</t>
        </is>
      </c>
      <c r="C44" s="68">
        <f>ROUND(C26*1.175,0)</f>
        <v/>
      </c>
      <c r="E44" s="12" t="inlineStr">
        <is>
          <t>💡 ОПВ 10% + ОСМС 3% + СО 3.5% + ОППВ 1.5% = 17.5% сверх зарплаты. Это обязательные отчисления работодателя.</t>
        </is>
      </c>
    </row>
    <row r="45">
      <c r="A45" s="9" t="inlineStr">
        <is>
          <t>5. КРЕДИТ (опционально)</t>
        </is>
      </c>
      <c r="B45" s="65" t="n"/>
      <c r="C45" s="65" t="n"/>
      <c r="D45" s="65" t="n"/>
      <c r="E45" s="66" t="n"/>
    </row>
    <row r="46">
      <c r="A46" s="10" t="n"/>
      <c r="B46" s="10" t="inlineStr">
        <is>
          <t>Параметр</t>
        </is>
      </c>
      <c r="C46" s="10" t="inlineStr">
        <is>
          <t>Значение</t>
        </is>
      </c>
      <c r="D46" s="10" t="inlineStr">
        <is>
          <t>Ед.</t>
        </is>
      </c>
      <c r="E46" s="10" t="inlineStr">
        <is>
          <t>Пояснение (дисклеймер)</t>
        </is>
      </c>
    </row>
    <row r="47">
      <c r="A47" s="11" t="n"/>
      <c r="B47" s="11" t="inlineStr">
        <is>
          <t>Сумма кредита</t>
        </is>
      </c>
      <c r="C47" s="37" t="n">
        <v>0</v>
      </c>
      <c r="D47" s="38" t="inlineStr">
        <is>
          <t>₸</t>
        </is>
      </c>
      <c r="E47" s="12" t="inlineStr">
        <is>
          <t>💡 Поставьте 0 если без кредита. Иначе — сумма займа</t>
        </is>
      </c>
    </row>
    <row r="48">
      <c r="A48" s="11" t="n"/>
      <c r="B48" s="11" t="inlineStr">
        <is>
          <t>Годовая ставка</t>
        </is>
      </c>
      <c r="C48" s="16" t="n">
        <v>0.22</v>
      </c>
      <c r="D48" s="38" t="inlineStr">
        <is>
          <t>%</t>
        </is>
      </c>
      <c r="E48" s="12" t="inlineStr">
        <is>
          <t>💡 Типичная ставка МСБ в КЗ: 18-24%. Льготные программы: 6-14%</t>
        </is>
      </c>
    </row>
    <row r="49">
      <c r="A49" s="11" t="n"/>
      <c r="B49" s="11" t="inlineStr">
        <is>
          <t>Срок кредита</t>
        </is>
      </c>
      <c r="C49" s="37" t="n">
        <v>36</v>
      </c>
      <c r="D49" s="38" t="inlineStr">
        <is>
          <t>мес</t>
        </is>
      </c>
      <c r="E49" s="12" t="inlineStr">
        <is>
          <t>💡 Стандарт для МСБ: 24-60 мес</t>
        </is>
      </c>
    </row>
    <row r="50">
      <c r="A50" s="14" t="n"/>
      <c r="B50" s="14" t="inlineStr">
        <is>
          <t>Ежемесячный платёж (аннуитет)</t>
        </is>
      </c>
      <c r="C50" s="68">
        <f>IF(C47=0,0,PMT(C48/12,C49,-C47))</f>
        <v/>
      </c>
      <c r="E50" s="12" t="inlineStr">
        <is>
          <t>💡 Аннуитетный платёж: фиксированная сумма каждый месяц (тело + проценты).</t>
        </is>
      </c>
    </row>
    <row r="51">
      <c r="A51" s="9" t="inlineStr">
        <is>
          <t>6. RAMP-UP (выход на мощность)</t>
        </is>
      </c>
      <c r="B51" s="65" t="n"/>
      <c r="C51" s="65" t="n"/>
      <c r="D51" s="65" t="n"/>
      <c r="E51" s="66" t="n"/>
    </row>
    <row r="52">
      <c r="A52" s="10" t="n"/>
      <c r="B52" s="10" t="inlineStr">
        <is>
          <t>Параметр</t>
        </is>
      </c>
      <c r="C52" s="10" t="inlineStr">
        <is>
          <t>Значение</t>
        </is>
      </c>
      <c r="D52" s="10" t="inlineStr">
        <is>
          <t>Ед.</t>
        </is>
      </c>
      <c r="E52" s="10" t="inlineStr">
        <is>
          <t>Пояснение (дисклеймер)</t>
        </is>
      </c>
    </row>
    <row r="53">
      <c r="A53" s="11" t="n"/>
      <c r="B53" s="11" t="inlineStr">
        <is>
          <t>Период разгона</t>
        </is>
      </c>
      <c r="C53" s="37" t="n">
        <v>3</v>
      </c>
      <c r="D53" s="38" t="inlineStr">
        <is>
          <t>мес</t>
        </is>
      </c>
      <c r="E53" s="12" t="inlineStr">
        <is>
          <t>💡 Сколько месяцев до выхода на полный трафик. Обычно 2-6 мес</t>
        </is>
      </c>
    </row>
    <row r="54">
      <c r="A54" s="11" t="n"/>
      <c r="B54" s="11" t="inlineStr">
        <is>
          <t>Стартовый трафик (% от полного)</t>
        </is>
      </c>
      <c r="C54" s="16" t="n">
        <v>0.4</v>
      </c>
      <c r="D54" s="38" t="inlineStr">
        <is>
          <t>%</t>
        </is>
      </c>
      <c r="E54" s="12" t="inlineStr">
        <is>
          <t>💡 В 1-й месяц — только 40% клиентов. Бренд ещё не раскручен</t>
        </is>
      </c>
    </row>
    <row r="55">
      <c r="A55" s="9" t="inlineStr">
        <is>
          <t>7. ДИСКОНТИРОВАНИЕ</t>
        </is>
      </c>
      <c r="B55" s="65" t="n"/>
      <c r="C55" s="65" t="n"/>
      <c r="D55" s="65" t="n"/>
      <c r="E55" s="66" t="n"/>
    </row>
    <row r="56">
      <c r="A56" s="10" t="n"/>
      <c r="B56" s="10" t="inlineStr">
        <is>
          <t>Параметр</t>
        </is>
      </c>
      <c r="C56" s="10" t="inlineStr">
        <is>
          <t>Значение</t>
        </is>
      </c>
      <c r="D56" s="10" t="inlineStr">
        <is>
          <t>Ед.</t>
        </is>
      </c>
      <c r="E56" s="10" t="inlineStr">
        <is>
          <t>Пояснение (дисклеймер)</t>
        </is>
      </c>
    </row>
    <row r="57">
      <c r="A57" s="11" t="n"/>
      <c r="B57" s="11" t="inlineStr">
        <is>
          <t>Ставка дисконтирования (WACC)</t>
        </is>
      </c>
      <c r="C57" s="16" t="n">
        <v>0.2</v>
      </c>
      <c r="D57" s="38" t="inlineStr">
        <is>
          <t>%</t>
        </is>
      </c>
      <c r="E57" s="12" t="inlineStr">
        <is>
          <t>💡 Для МСБ КЗ: 18-25%. Учитывает страновой риск + отраслевой риск. Если не знаете — оставьте 20%</t>
        </is>
      </c>
    </row>
    <row r="59">
      <c r="B59" s="42" t="inlineStr">
        <is>
          <t>ZEREK Financial Model | 04.04.2026 | @zerekai_bot</t>
        </is>
      </c>
    </row>
  </sheetData>
  <mergeCells count="10">
    <mergeCell ref="A55:E55"/>
    <mergeCell ref="A2:E2"/>
    <mergeCell ref="A11:E11"/>
    <mergeCell ref="A51:E51"/>
    <mergeCell ref="A45:E45"/>
    <mergeCell ref="A1:E1"/>
    <mergeCell ref="A36:E36"/>
    <mergeCell ref="A22:E22"/>
    <mergeCell ref="A18:E18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N15"/>
  <sheetViews>
    <sheetView zoomScaleNormal="100" workbookViewId="0">
      <selection activeCell="J19" sqref="J19"/>
    </sheetView>
  </sheetViews>
  <sheetFormatPr baseColWidth="8" defaultColWidth="8.6640625" defaultRowHeight="14.4"/>
  <cols>
    <col width="3" customWidth="1" min="1" max="1"/>
    <col width="26" customWidth="1" min="2" max="2"/>
    <col width="10" customWidth="1" min="3" max="14"/>
  </cols>
  <sheetData>
    <row r="1" ht="27.75" customHeight="1">
      <c r="A1" s="6">
        <f>"ДОПУЩЕНИЯ МОДЕЛИ — "&amp;UPPER('⚙️ ПАРАМЕТРЫ'!C5)</f>
        <v/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6" t="n"/>
    </row>
    <row r="2" ht="15" customHeight="1">
      <c r="A2" s="8" t="inlineStr">
        <is>
          <t>📌 Сезонные коэффициенты: 1.00 = норма, 1.10 = на 10% выше, 0.85 = на 15% ниже. Казахстан — резко континентальный климат: жаркое лето, холодная зима.</t>
        </is>
      </c>
    </row>
    <row r="3">
      <c r="A3" s="9" t="inlineStr">
        <is>
          <t>СЕЗОННОСТЬ ТРАФИКА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6" t="n"/>
    </row>
    <row r="4">
      <c r="A4" s="10" t="n"/>
      <c r="B4" s="10" t="inlineStr">
        <is>
          <t>Месяц</t>
        </is>
      </c>
      <c r="C4" s="10" t="inlineStr">
        <is>
          <t>Янв</t>
        </is>
      </c>
      <c r="D4" s="10" t="inlineStr">
        <is>
          <t>Фев</t>
        </is>
      </c>
      <c r="E4" s="10" t="inlineStr">
        <is>
          <t>Мар</t>
        </is>
      </c>
      <c r="F4" s="10" t="inlineStr">
        <is>
          <t>Апр</t>
        </is>
      </c>
      <c r="G4" s="10" t="inlineStr">
        <is>
          <t>Май</t>
        </is>
      </c>
      <c r="H4" s="10" t="inlineStr">
        <is>
          <t>Июн</t>
        </is>
      </c>
      <c r="I4" s="10" t="inlineStr">
        <is>
          <t>Июл</t>
        </is>
      </c>
      <c r="J4" s="10" t="inlineStr">
        <is>
          <t>Авг</t>
        </is>
      </c>
      <c r="K4" s="10" t="inlineStr">
        <is>
          <t>Сен</t>
        </is>
      </c>
      <c r="L4" s="10" t="inlineStr">
        <is>
          <t>Окт</t>
        </is>
      </c>
      <c r="M4" s="10" t="inlineStr">
        <is>
          <t>Ноя</t>
        </is>
      </c>
      <c r="N4" s="10" t="inlineStr">
        <is>
          <t>Дек</t>
        </is>
      </c>
    </row>
    <row r="5">
      <c r="A5" s="11" t="n"/>
      <c r="B5" s="11" t="inlineStr">
        <is>
          <t>Коэффициент</t>
        </is>
      </c>
      <c r="C5" s="15" t="n">
        <v>0.85</v>
      </c>
      <c r="D5" s="15" t="n">
        <v>0.85</v>
      </c>
      <c r="E5" s="15" t="n">
        <v>0.9</v>
      </c>
      <c r="F5" s="15" t="n">
        <v>1</v>
      </c>
      <c r="G5" s="15" t="n">
        <v>1.05</v>
      </c>
      <c r="H5" s="15" t="n">
        <v>1.1</v>
      </c>
      <c r="I5" s="15" t="n">
        <v>1.1</v>
      </c>
      <c r="J5" s="15" t="n">
        <v>1.05</v>
      </c>
      <c r="K5" s="15" t="n">
        <v>1</v>
      </c>
      <c r="L5" s="15" t="n">
        <v>0.95</v>
      </c>
      <c r="M5" s="15" t="n">
        <v>0.9</v>
      </c>
      <c r="N5" s="15" t="n">
        <v>1.15</v>
      </c>
    </row>
    <row r="6" ht="15" customHeight="1">
      <c r="A6" s="8" t="n"/>
      <c r="B6" s="8" t="inlineStr">
        <is>
          <t>💡 Коэффициенты умножаются на базовый трафик. 1.15 в декабре = праздничный спрос +15%. 0.85 зимой = холод, меньше пешеходов.</t>
        </is>
      </c>
    </row>
    <row r="7">
      <c r="A7" s="9" t="inlineStr">
        <is>
          <t>ИНФЛЯЦИЯ ПО СТАТЬЯМ</t>
        </is>
      </c>
      <c r="B7" s="65" t="n"/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6" t="n"/>
    </row>
    <row r="8">
      <c r="A8" s="10" t="n"/>
      <c r="B8" s="10" t="inlineStr">
        <is>
          <t>Статья</t>
        </is>
      </c>
      <c r="C8" s="10" t="inlineStr">
        <is>
          <t>Рост/год</t>
        </is>
      </c>
      <c r="D8" s="46" t="inlineStr">
        <is>
          <t>Пояснение</t>
        </is>
      </c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</row>
    <row r="9" ht="15" customHeight="1">
      <c r="A9" s="11" t="n"/>
      <c r="B9" s="11" t="inlineStr">
        <is>
          <t>Аренда</t>
        </is>
      </c>
      <c r="C9" s="16" t="n">
        <v>0.1</v>
      </c>
      <c r="D9" s="2" t="inlineStr">
        <is>
          <t>💡 Арендодатели КЗ индексируют ежегодно. Зависит от договора</t>
        </is>
      </c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</row>
    <row r="10" ht="15" customHeight="1">
      <c r="A10" s="11" t="n"/>
      <c r="B10" s="11" t="inlineStr">
        <is>
          <t>ФОТ</t>
        </is>
      </c>
      <c r="C10" s="16" t="n">
        <v>0.08</v>
      </c>
      <c r="D10" s="2" t="inlineStr">
        <is>
          <t>💡 Рост зарплат. В КЗ ~8% в год</t>
        </is>
      </c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</row>
    <row r="11" ht="15" customHeight="1">
      <c r="A11" s="11" t="n"/>
      <c r="B11" s="11" t="inlineStr">
        <is>
          <t>Продукты/материалы</t>
        </is>
      </c>
      <c r="C11" s="16" t="n">
        <v>0.12</v>
      </c>
      <c r="D11" s="2" t="inlineStr">
        <is>
          <t>💡 Продовольственная инфляция в КЗ выше общей: 10-15%</t>
        </is>
      </c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</row>
    <row r="12" ht="15" customHeight="1">
      <c r="A12" s="11" t="n"/>
      <c r="B12" s="11" t="inlineStr">
        <is>
          <t>Коммунальные</t>
        </is>
      </c>
      <c r="C12" s="16" t="n">
        <v>0.08</v>
      </c>
      <c r="D12" s="2" t="inlineStr">
        <is>
          <t>💡 Тарифы регулируются, растут медленнее</t>
        </is>
      </c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</row>
    <row r="13" ht="15" customHeight="1">
      <c r="A13" s="11" t="n"/>
      <c r="B13" s="11" t="inlineStr">
        <is>
          <t>Маркетинг</t>
        </is>
      </c>
      <c r="C13" s="16" t="n">
        <v>0.05</v>
      </c>
      <c r="D13" s="2" t="inlineStr">
        <is>
          <t>💡 Цифровая реклама дорожает медленнее</t>
        </is>
      </c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</row>
    <row r="15">
      <c r="B15" s="7" t="inlineStr">
        <is>
          <t>ZEREK | 04.04.2026</t>
        </is>
      </c>
    </row>
  </sheetData>
  <mergeCells count="11">
    <mergeCell ref="D12:N12"/>
    <mergeCell ref="A3:N3"/>
    <mergeCell ref="D8:N8"/>
    <mergeCell ref="A2:N2"/>
    <mergeCell ref="D11:N11"/>
    <mergeCell ref="A7:N7"/>
    <mergeCell ref="D10:N10"/>
    <mergeCell ref="D9:N9"/>
    <mergeCell ref="D13:N13"/>
    <mergeCell ref="B6:N6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E26"/>
  <sheetViews>
    <sheetView tabSelected="1" zoomScaleNormal="100" workbookViewId="0">
      <selection activeCell="E5" sqref="E5"/>
    </sheetView>
  </sheetViews>
  <sheetFormatPr baseColWidth="8" defaultColWidth="8.6640625" defaultRowHeight="14.4"/>
  <cols>
    <col width="1.88671875" customWidth="1" style="40" min="1" max="1"/>
    <col width="22" customWidth="1" style="40" min="2" max="5"/>
    <col width="8.6640625" customWidth="1" style="40" min="6" max="16384"/>
  </cols>
  <sheetData>
    <row r="1" ht="27.75" customHeight="1">
      <c r="A1" s="6">
        <f>"ДАШБОРД — "&amp;UPPER('⚙️ ПАРАМЕТРЫ'!C5)&amp;" ("&amp;'⚙️ ПАРАМЕТРЫ'!C6&amp;")"</f>
        <v/>
      </c>
      <c r="B1" s="65" t="n"/>
      <c r="C1" s="65" t="n"/>
      <c r="D1" s="65" t="n"/>
      <c r="E1" s="66" t="n"/>
    </row>
    <row r="2">
      <c r="A2" s="5">
        <f>"Горизонт: 36 мес  |  Город: "&amp;'⚙️ ПАРАМЕТРЫ'!C6&amp;"  |  Все показатели обновляются автоматически"</f>
        <v/>
      </c>
      <c r="B2" s="65" t="n"/>
      <c r="C2" s="65" t="n"/>
      <c r="D2" s="65" t="n"/>
      <c r="E2" s="65" t="n"/>
    </row>
    <row r="3">
      <c r="A3" s="9" t="inlineStr">
        <is>
          <t>КЛЮЧЕВЫЕ ИНВЕСТИЦИОННЫЕ ПОКАЗАТЕЛИ</t>
        </is>
      </c>
      <c r="B3" s="65" t="n"/>
      <c r="C3" s="65" t="n"/>
      <c r="D3" s="65" t="n"/>
      <c r="E3" s="66" t="n"/>
    </row>
    <row r="4">
      <c r="A4" s="10" t="n"/>
      <c r="B4" s="10" t="inlineStr">
        <is>
          <t>NPV</t>
        </is>
      </c>
      <c r="C4" s="10" t="inlineStr">
        <is>
          <t>IRR</t>
        </is>
      </c>
      <c r="D4" s="10" t="inlineStr">
        <is>
          <t>Окупаемость</t>
        </is>
      </c>
      <c r="E4" s="10" t="inlineStr">
        <is>
          <t>ROI</t>
        </is>
      </c>
    </row>
    <row r="5" ht="15.6" customHeight="1">
      <c r="A5" s="69" t="n"/>
      <c r="B5" s="69">
        <f>NPV('⚙️ ПАРАМЕТРЫ'!C57/12,'💰 CASH FLOW'!C9:AL9)-'⚙️ ПАРАМЕТРЫ'!C42</f>
        <v/>
      </c>
      <c r="C5" s="18">
        <f>IFERROR(IRR('💰 CASH FLOW'!B9:AL9),0)</f>
        <v/>
      </c>
      <c r="D5" s="70">
        <f>IFERROR(MATCH(TRUE(),'💰 CASH FLOW'!C10:AL10&gt;=0,0),"&gt;36")</f>
        <v/>
      </c>
      <c r="E5" s="18">
        <f>IFERROR(SUM('📈 P&amp;L'!C31:AL31)/'⚙️ ПАРАМЕТРЫ'!C42,0)</f>
        <v/>
      </c>
    </row>
    <row r="6" ht="34.5" customHeight="1">
      <c r="A6" s="59" t="n"/>
      <c r="B6" s="59" t="inlineStr">
        <is>
          <t>Чистая приведённая стоимость. NPV &gt; 0 → проект выгоден</t>
        </is>
      </c>
      <c r="C6" s="59" t="inlineStr">
        <is>
          <t>Годовая доходность. Сравните с депозитом (12-14%)</t>
        </is>
      </c>
      <c r="D6" s="59" t="inlineStr">
        <is>
          <t>Через сколько месяцев вернёте вложения</t>
        </is>
      </c>
      <c r="E6" s="59" t="inlineStr">
        <is>
          <t>Прибыль за 3 года / инвестиции. &gt;100% = вложения вернулись</t>
        </is>
      </c>
    </row>
    <row r="8">
      <c r="A8" s="9" t="inlineStr">
        <is>
          <t>СВОДНЫЙ P&amp;L ЗА 3 ГОДА</t>
        </is>
      </c>
      <c r="B8" s="65" t="n"/>
      <c r="C8" s="65" t="n"/>
      <c r="D8" s="65" t="n"/>
      <c r="E8" s="66" t="n"/>
    </row>
    <row r="9">
      <c r="A9" s="10" t="n"/>
      <c r="B9" s="10" t="inlineStr">
        <is>
          <t>Показатель</t>
        </is>
      </c>
      <c r="C9" s="10" t="inlineStr">
        <is>
          <t>Итого 36 мес</t>
        </is>
      </c>
      <c r="D9" s="10" t="inlineStr">
        <is>
          <t>₸/мес (средн.)</t>
        </is>
      </c>
      <c r="E9" s="10" t="inlineStr">
        <is>
          <t>% от выручки</t>
        </is>
      </c>
    </row>
    <row r="10">
      <c r="A10" s="13" t="n"/>
      <c r="B10" s="13" t="inlineStr">
        <is>
          <t>Выручка</t>
        </is>
      </c>
      <c r="C10" s="71">
        <f>SUM('📈 P&amp;L'!C12:AL12)</f>
        <v/>
      </c>
      <c r="D10" s="72">
        <f>IFERROR(C10/36,"")</f>
        <v/>
      </c>
      <c r="E10" s="62">
        <f>IFERROR(C10/SUM('📈 P&amp;L'!C12:AL12),"")</f>
        <v/>
      </c>
    </row>
    <row r="11">
      <c r="A11" s="11" t="n"/>
      <c r="B11" s="11" t="inlineStr">
        <is>
          <t xml:space="preserve">  ▸ Себестоимость</t>
        </is>
      </c>
      <c r="C11" s="72">
        <f>SUM('📈 P&amp;L'!C14:AL14)</f>
        <v/>
      </c>
      <c r="D11" s="72">
        <f>IFERROR(C11/36,"")</f>
        <v/>
      </c>
      <c r="E11" s="62">
        <f>IFERROR(C11/SUM('📈 P&amp;L'!C12:AL12),"")</f>
        <v/>
      </c>
    </row>
    <row r="12">
      <c r="A12" s="11" t="n"/>
      <c r="B12" s="11" t="inlineStr">
        <is>
          <t xml:space="preserve">  ▸ Потери</t>
        </is>
      </c>
      <c r="C12" s="72">
        <f>SUM('📈 P&amp;L'!C15:AL15)</f>
        <v/>
      </c>
      <c r="D12" s="72">
        <f>IFERROR(C12/36,"")</f>
        <v/>
      </c>
      <c r="E12" s="62">
        <f>IFERROR(C12/SUM('📈 P&amp;L'!C12:AL12),"")</f>
        <v/>
      </c>
    </row>
    <row r="13">
      <c r="A13" s="13" t="n"/>
      <c r="B13" s="13" t="inlineStr">
        <is>
          <t>Валовая прибыль</t>
        </is>
      </c>
      <c r="C13" s="71">
        <f>SUM('📈 P&amp;L'!C16:AL16)</f>
        <v/>
      </c>
      <c r="D13" s="72">
        <f>IFERROR(C13/36,"")</f>
        <v/>
      </c>
      <c r="E13" s="62">
        <f>IFERROR(C13/SUM('📈 P&amp;L'!C12:AL12),"")</f>
        <v/>
      </c>
    </row>
    <row r="14">
      <c r="A14" s="11" t="n"/>
      <c r="B14" s="11" t="inlineStr">
        <is>
          <t xml:space="preserve">  ▸ ФОТ</t>
        </is>
      </c>
      <c r="C14" s="72">
        <f>SUM('📈 P&amp;L'!C18:AL18)</f>
        <v/>
      </c>
      <c r="D14" s="72">
        <f>IFERROR(C14/36,"")</f>
        <v/>
      </c>
      <c r="E14" s="62">
        <f>IFERROR(C14/SUM('📈 P&amp;L'!C12:AL12),"")</f>
        <v/>
      </c>
    </row>
    <row r="15">
      <c r="A15" s="11" t="n"/>
      <c r="B15" s="11" t="inlineStr">
        <is>
          <t xml:space="preserve">  ▸ Аренда</t>
        </is>
      </c>
      <c r="C15" s="72">
        <f>SUM('📈 P&amp;L'!C19:AL19)</f>
        <v/>
      </c>
      <c r="D15" s="72">
        <f>IFERROR(C15/36,"")</f>
        <v/>
      </c>
      <c r="E15" s="62">
        <f>IFERROR(C15/SUM('📈 P&amp;L'!C12:AL12),"")</f>
        <v/>
      </c>
    </row>
    <row r="16">
      <c r="A16" s="11" t="n"/>
      <c r="B16" s="11" t="inlineStr">
        <is>
          <t xml:space="preserve">  ▸ Прочие пост.</t>
        </is>
      </c>
      <c r="C16" s="72">
        <f>SUM('📈 P&amp;L'!C20:AL20)+SUM('📈 P&amp;L'!C21:AL21)+SUM('📈 P&amp;L'!C22:AL22)+SUM('📈 P&amp;L'!C23:AL23)+SUM('📈 P&amp;L'!C24:AL24)</f>
        <v/>
      </c>
      <c r="D16" s="72">
        <f>IFERROR(C16/36,"")</f>
        <v/>
      </c>
      <c r="E16" s="62">
        <f>IFERROR(C16/SUM('📈 P&amp;L'!C12:AL12),"")</f>
        <v/>
      </c>
    </row>
    <row r="17">
      <c r="A17" s="13" t="n"/>
      <c r="B17" s="13" t="inlineStr">
        <is>
          <t>EBITDA</t>
        </is>
      </c>
      <c r="C17" s="71">
        <f>SUM('📈 P&amp;L'!C26:AL26)</f>
        <v/>
      </c>
      <c r="D17" s="72">
        <f>IFERROR(C17/36,"")</f>
        <v/>
      </c>
      <c r="E17" s="62">
        <f>IFERROR(C17/SUM('📈 P&amp;L'!C12:AL12),"")</f>
        <v/>
      </c>
    </row>
    <row r="18">
      <c r="A18" s="11" t="n"/>
      <c r="B18" s="11" t="inlineStr">
        <is>
          <t>Налог</t>
        </is>
      </c>
      <c r="C18" s="72">
        <f>SUM('📈 P&amp;L'!C30:AL30)</f>
        <v/>
      </c>
      <c r="D18" s="72">
        <f>IFERROR(C18/36,"")</f>
        <v/>
      </c>
      <c r="E18" s="62">
        <f>IFERROR(C18/SUM('📈 P&amp;L'!C12:AL12),"")</f>
        <v/>
      </c>
    </row>
    <row r="19">
      <c r="A19" s="13" t="n"/>
      <c r="B19" s="13" t="inlineStr">
        <is>
          <t>ЧИСТАЯ ПРИБЫЛЬ</t>
        </is>
      </c>
      <c r="C19" s="71">
        <f>SUM('📈 P&amp;L'!C31:AL31)</f>
        <v/>
      </c>
      <c r="D19" s="72">
        <f>IFERROR(C19/36,"")</f>
        <v/>
      </c>
      <c r="E19" s="62">
        <f>IFERROR(C19/SUM('📈 P&amp;L'!C12:AL12),"")</f>
        <v/>
      </c>
    </row>
    <row r="21">
      <c r="A21" s="9" t="inlineStr">
        <is>
          <t>АВТОМАТИЧЕСКИЙ ВЫВОД</t>
        </is>
      </c>
      <c r="B21" s="65" t="n"/>
      <c r="C21" s="65" t="n"/>
      <c r="D21" s="65" t="n"/>
      <c r="E21" s="66" t="n"/>
    </row>
    <row r="22">
      <c r="A22" s="22" t="n"/>
      <c r="B22" s="22">
        <f>IF(B5&gt;0,"✅ NPV положительный — проект создаёт стоимость.","❌ NPV отрицательный — проект разрушает стоимость.")</f>
        <v/>
      </c>
      <c r="C22" s="65" t="n"/>
      <c r="D22" s="65" t="n"/>
      <c r="E22" s="66" t="n"/>
    </row>
    <row r="23">
      <c r="A23" s="22" t="n"/>
      <c r="B23" s="22">
        <f>IF(B5&gt;'⚙️ ПАРАМЕТРЫ'!C57,"✅ IRR выше WACC — проект привлекателен для инвестора.","⚠️ IRR ниже WACC — доходность не покрывает риски.")</f>
        <v/>
      </c>
      <c r="C23" s="65" t="n"/>
      <c r="D23" s="65" t="n"/>
      <c r="E23" s="66" t="n"/>
    </row>
    <row r="24">
      <c r="A24" s="22" t="n"/>
      <c r="B24" s="22">
        <f>IF(D5&lt;=18,"✅ Окупаемость до 18 мес — отличный показатель.",IF(D5&lt;=30,"⚠️ Окупаемость 18-30 мес — приемлемо.","❌ Окупаемость &gt;30 мес — высокий риск."))</f>
        <v/>
      </c>
      <c r="C24" s="65" t="n"/>
      <c r="D24" s="65" t="n"/>
      <c r="E24" s="66" t="n"/>
    </row>
    <row r="26">
      <c r="B26" s="42" t="inlineStr">
        <is>
          <t>ZEREK | 04.04.2026</t>
        </is>
      </c>
    </row>
  </sheetData>
  <mergeCells count="8">
    <mergeCell ref="A21:E21"/>
    <mergeCell ref="B23:E23"/>
    <mergeCell ref="A2:E2"/>
    <mergeCell ref="A1:E1"/>
    <mergeCell ref="B24:E24"/>
    <mergeCell ref="A8:E8"/>
    <mergeCell ref="B22:E22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B5E20"/>
    <outlinePr summaryBelow="1" summaryRight="1"/>
    <pageSetUpPr/>
  </sheetPr>
  <dimension ref="A1:AL34"/>
  <sheetViews>
    <sheetView zoomScaleNormal="100" workbookViewId="0">
      <selection activeCell="A1" sqref="A1:AL1"/>
    </sheetView>
  </sheetViews>
  <sheetFormatPr baseColWidth="8" defaultColWidth="8.6640625" defaultRowHeight="14.4"/>
  <cols>
    <col width="3" customWidth="1" min="1" max="1"/>
    <col width="30" customWidth="1" min="2" max="2"/>
    <col width="13" customWidth="1" min="3" max="39"/>
  </cols>
  <sheetData>
    <row r="1" ht="27.75" customHeight="1">
      <c r="A1" s="63">
        <f>"ОТЧЁТ О ПРИБЫЛЯХ И УБЫТКАХ — "&amp;UPPER('⚙️ ПАРАМЕТРЫ'!C5)&amp;" ("&amp;'⚙️ ПАРАМЕТРЫ'!C6&amp;")"</f>
        <v/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6" t="n"/>
    </row>
    <row r="2" ht="15" customHeight="1">
      <c r="A2" s="8" t="inlineStr">
        <is>
          <t>📌 Помесячно на 36 месяцев. Все формулы ссылаются на ⚙️ ПАРАМЕТРЫ и 📊 ДОПУЩЕНИЯ. Меняете параметры — P&amp;L пересчитывается.</t>
        </is>
      </c>
    </row>
    <row r="3">
      <c r="A3" s="10" t="n"/>
      <c r="B3" s="10" t="inlineStr">
        <is>
          <t>Статья / Период</t>
        </is>
      </c>
      <c r="C3" s="10" t="inlineStr">
        <is>
          <t>М1</t>
        </is>
      </c>
      <c r="D3" s="10" t="inlineStr">
        <is>
          <t>М2</t>
        </is>
      </c>
      <c r="E3" s="10" t="inlineStr">
        <is>
          <t>М3</t>
        </is>
      </c>
      <c r="F3" s="10" t="inlineStr">
        <is>
          <t>М4</t>
        </is>
      </c>
      <c r="G3" s="10" t="inlineStr">
        <is>
          <t>М5</t>
        </is>
      </c>
      <c r="H3" s="10" t="inlineStr">
        <is>
          <t>М6</t>
        </is>
      </c>
      <c r="I3" s="10" t="inlineStr">
        <is>
          <t>М7</t>
        </is>
      </c>
      <c r="J3" s="10" t="inlineStr">
        <is>
          <t>М8</t>
        </is>
      </c>
      <c r="K3" s="10" t="inlineStr">
        <is>
          <t>М9</t>
        </is>
      </c>
      <c r="L3" s="10" t="inlineStr">
        <is>
          <t>М10</t>
        </is>
      </c>
      <c r="M3" s="10" t="inlineStr">
        <is>
          <t>М11</t>
        </is>
      </c>
      <c r="N3" s="10" t="inlineStr">
        <is>
          <t>М12</t>
        </is>
      </c>
      <c r="O3" s="10" t="inlineStr">
        <is>
          <t>М13</t>
        </is>
      </c>
      <c r="P3" s="10" t="inlineStr">
        <is>
          <t>М14</t>
        </is>
      </c>
      <c r="Q3" s="10" t="inlineStr">
        <is>
          <t>М15</t>
        </is>
      </c>
      <c r="R3" s="10" t="inlineStr">
        <is>
          <t>М16</t>
        </is>
      </c>
      <c r="S3" s="10" t="inlineStr">
        <is>
          <t>М17</t>
        </is>
      </c>
      <c r="T3" s="10" t="inlineStr">
        <is>
          <t>М18</t>
        </is>
      </c>
      <c r="U3" s="10" t="inlineStr">
        <is>
          <t>М19</t>
        </is>
      </c>
      <c r="V3" s="10" t="inlineStr">
        <is>
          <t>М20</t>
        </is>
      </c>
      <c r="W3" s="10" t="inlineStr">
        <is>
          <t>М21</t>
        </is>
      </c>
      <c r="X3" s="10" t="inlineStr">
        <is>
          <t>М22</t>
        </is>
      </c>
      <c r="Y3" s="10" t="inlineStr">
        <is>
          <t>М23</t>
        </is>
      </c>
      <c r="Z3" s="10" t="inlineStr">
        <is>
          <t>М24</t>
        </is>
      </c>
      <c r="AA3" s="10" t="inlineStr">
        <is>
          <t>М25</t>
        </is>
      </c>
      <c r="AB3" s="10" t="inlineStr">
        <is>
          <t>М26</t>
        </is>
      </c>
      <c r="AC3" s="10" t="inlineStr">
        <is>
          <t>М27</t>
        </is>
      </c>
      <c r="AD3" s="10" t="inlineStr">
        <is>
          <t>М28</t>
        </is>
      </c>
      <c r="AE3" s="10" t="inlineStr">
        <is>
          <t>М29</t>
        </is>
      </c>
      <c r="AF3" s="10" t="inlineStr">
        <is>
          <t>М30</t>
        </is>
      </c>
      <c r="AG3" s="10" t="inlineStr">
        <is>
          <t>М31</t>
        </is>
      </c>
      <c r="AH3" s="10" t="inlineStr">
        <is>
          <t>М32</t>
        </is>
      </c>
      <c r="AI3" s="10" t="inlineStr">
        <is>
          <t>М33</t>
        </is>
      </c>
      <c r="AJ3" s="10" t="inlineStr">
        <is>
          <t>М34</t>
        </is>
      </c>
      <c r="AK3" s="10" t="inlineStr">
        <is>
          <t>М35</t>
        </is>
      </c>
      <c r="AL3" s="10" t="inlineStr">
        <is>
          <t>М36</t>
        </is>
      </c>
    </row>
    <row r="4">
      <c r="A4" s="23" t="n"/>
      <c r="B4" s="23" t="inlineStr">
        <is>
          <t>Кал. месяц</t>
        </is>
      </c>
      <c r="C4" s="24">
        <f>MOD(1-1+3,12)+1</f>
        <v/>
      </c>
      <c r="D4" s="24">
        <f>MOD(2-1+3,12)+1</f>
        <v/>
      </c>
      <c r="E4" s="24">
        <f>MOD(3-1+3,12)+1</f>
        <v/>
      </c>
      <c r="F4" s="24">
        <f>MOD(4-1+3,12)+1</f>
        <v/>
      </c>
      <c r="G4" s="24">
        <f>MOD(5-1+3,12)+1</f>
        <v/>
      </c>
      <c r="H4" s="24">
        <f>MOD(6-1+3,12)+1</f>
        <v/>
      </c>
      <c r="I4" s="24">
        <f>MOD(7-1+3,12)+1</f>
        <v/>
      </c>
      <c r="J4" s="24">
        <f>MOD(8-1+3,12)+1</f>
        <v/>
      </c>
      <c r="K4" s="24">
        <f>MOD(9-1+3,12)+1</f>
        <v/>
      </c>
      <c r="L4" s="24">
        <f>MOD(10-1+3,12)+1</f>
        <v/>
      </c>
      <c r="M4" s="24">
        <f>MOD(11-1+3,12)+1</f>
        <v/>
      </c>
      <c r="N4" s="24">
        <f>MOD(12-1+3,12)+1</f>
        <v/>
      </c>
      <c r="O4" s="24">
        <f>MOD(13-1+3,12)+1</f>
        <v/>
      </c>
      <c r="P4" s="24">
        <f>MOD(14-1+3,12)+1</f>
        <v/>
      </c>
      <c r="Q4" s="24">
        <f>MOD(15-1+3,12)+1</f>
        <v/>
      </c>
      <c r="R4" s="24">
        <f>MOD(16-1+3,12)+1</f>
        <v/>
      </c>
      <c r="S4" s="24">
        <f>MOD(17-1+3,12)+1</f>
        <v/>
      </c>
      <c r="T4" s="24">
        <f>MOD(18-1+3,12)+1</f>
        <v/>
      </c>
      <c r="U4" s="24">
        <f>MOD(19-1+3,12)+1</f>
        <v/>
      </c>
      <c r="V4" s="24">
        <f>MOD(20-1+3,12)+1</f>
        <v/>
      </c>
      <c r="W4" s="24">
        <f>MOD(21-1+3,12)+1</f>
        <v/>
      </c>
      <c r="X4" s="24">
        <f>MOD(22-1+3,12)+1</f>
        <v/>
      </c>
      <c r="Y4" s="24">
        <f>MOD(23-1+3,12)+1</f>
        <v/>
      </c>
      <c r="Z4" s="24">
        <f>MOD(24-1+3,12)+1</f>
        <v/>
      </c>
      <c r="AA4" s="24">
        <f>MOD(25-1+3,12)+1</f>
        <v/>
      </c>
      <c r="AB4" s="24">
        <f>MOD(26-1+3,12)+1</f>
        <v/>
      </c>
      <c r="AC4" s="24">
        <f>MOD(27-1+3,12)+1</f>
        <v/>
      </c>
      <c r="AD4" s="24">
        <f>MOD(28-1+3,12)+1</f>
        <v/>
      </c>
      <c r="AE4" s="24">
        <f>MOD(29-1+3,12)+1</f>
        <v/>
      </c>
      <c r="AF4" s="24">
        <f>MOD(30-1+3,12)+1</f>
        <v/>
      </c>
      <c r="AG4" s="24">
        <f>MOD(31-1+3,12)+1</f>
        <v/>
      </c>
      <c r="AH4" s="24">
        <f>MOD(32-1+3,12)+1</f>
        <v/>
      </c>
      <c r="AI4" s="24">
        <f>MOD(33-1+3,12)+1</f>
        <v/>
      </c>
      <c r="AJ4" s="24">
        <f>MOD(34-1+3,12)+1</f>
        <v/>
      </c>
      <c r="AK4" s="24">
        <f>MOD(35-1+3,12)+1</f>
        <v/>
      </c>
      <c r="AL4" s="24">
        <f>MOD(36-1+3,12)+1</f>
        <v/>
      </c>
    </row>
    <row r="5">
      <c r="A5" s="23" t="n"/>
      <c r="B5" s="23" t="inlineStr">
        <is>
          <t>Сез. коэфф.</t>
        </is>
      </c>
      <c r="C5" s="25">
        <f>INDEX('📊 ДОПУЩЕНИЯ'!$C$5:$N$5,1,C4)</f>
        <v/>
      </c>
      <c r="D5" s="25">
        <f>INDEX('📊 ДОПУЩЕНИЯ'!$C$5:$N$5,1,D4)</f>
        <v/>
      </c>
      <c r="E5" s="25">
        <f>INDEX('📊 ДОПУЩЕНИЯ'!$C$5:$N$5,1,E4)</f>
        <v/>
      </c>
      <c r="F5" s="25">
        <f>INDEX('📊 ДОПУЩЕНИЯ'!$C$5:$N$5,1,F4)</f>
        <v/>
      </c>
      <c r="G5" s="25">
        <f>INDEX('📊 ДОПУЩЕНИЯ'!$C$5:$N$5,1,G4)</f>
        <v/>
      </c>
      <c r="H5" s="25">
        <f>INDEX('📊 ДОПУЩЕНИЯ'!$C$5:$N$5,1,H4)</f>
        <v/>
      </c>
      <c r="I5" s="25">
        <f>INDEX('📊 ДОПУЩЕНИЯ'!$C$5:$N$5,1,I4)</f>
        <v/>
      </c>
      <c r="J5" s="25">
        <f>INDEX('📊 ДОПУЩЕНИЯ'!$C$5:$N$5,1,J4)</f>
        <v/>
      </c>
      <c r="K5" s="25">
        <f>INDEX('📊 ДОПУЩЕНИЯ'!$C$5:$N$5,1,K4)</f>
        <v/>
      </c>
      <c r="L5" s="25">
        <f>INDEX('📊 ДОПУЩЕНИЯ'!$C$5:$N$5,1,L4)</f>
        <v/>
      </c>
      <c r="M5" s="25">
        <f>INDEX('📊 ДОПУЩЕНИЯ'!$C$5:$N$5,1,M4)</f>
        <v/>
      </c>
      <c r="N5" s="25">
        <f>INDEX('📊 ДОПУЩЕНИЯ'!$C$5:$N$5,1,N4)</f>
        <v/>
      </c>
      <c r="O5" s="25">
        <f>INDEX('📊 ДОПУЩЕНИЯ'!$C$5:$N$5,1,O4)</f>
        <v/>
      </c>
      <c r="P5" s="25">
        <f>INDEX('📊 ДОПУЩЕНИЯ'!$C$5:$N$5,1,P4)</f>
        <v/>
      </c>
      <c r="Q5" s="25">
        <f>INDEX('📊 ДОПУЩЕНИЯ'!$C$5:$N$5,1,Q4)</f>
        <v/>
      </c>
      <c r="R5" s="25">
        <f>INDEX('📊 ДОПУЩЕНИЯ'!$C$5:$N$5,1,R4)</f>
        <v/>
      </c>
      <c r="S5" s="25">
        <f>INDEX('📊 ДОПУЩЕНИЯ'!$C$5:$N$5,1,S4)</f>
        <v/>
      </c>
      <c r="T5" s="25">
        <f>INDEX('📊 ДОПУЩЕНИЯ'!$C$5:$N$5,1,T4)</f>
        <v/>
      </c>
      <c r="U5" s="25">
        <f>INDEX('📊 ДОПУЩЕНИЯ'!$C$5:$N$5,1,U4)</f>
        <v/>
      </c>
      <c r="V5" s="25">
        <f>INDEX('📊 ДОПУЩЕНИЯ'!$C$5:$N$5,1,V4)</f>
        <v/>
      </c>
      <c r="W5" s="25">
        <f>INDEX('📊 ДОПУЩЕНИЯ'!$C$5:$N$5,1,W4)</f>
        <v/>
      </c>
      <c r="X5" s="25">
        <f>INDEX('📊 ДОПУЩЕНИЯ'!$C$5:$N$5,1,X4)</f>
        <v/>
      </c>
      <c r="Y5" s="25">
        <f>INDEX('📊 ДОПУЩЕНИЯ'!$C$5:$N$5,1,Y4)</f>
        <v/>
      </c>
      <c r="Z5" s="25">
        <f>INDEX('📊 ДОПУЩЕНИЯ'!$C$5:$N$5,1,Z4)</f>
        <v/>
      </c>
      <c r="AA5" s="25">
        <f>INDEX('📊 ДОПУЩЕНИЯ'!$C$5:$N$5,1,AA4)</f>
        <v/>
      </c>
      <c r="AB5" s="25">
        <f>INDEX('📊 ДОПУЩЕНИЯ'!$C$5:$N$5,1,AB4)</f>
        <v/>
      </c>
      <c r="AC5" s="25">
        <f>INDEX('📊 ДОПУЩЕНИЯ'!$C$5:$N$5,1,AC4)</f>
        <v/>
      </c>
      <c r="AD5" s="25">
        <f>INDEX('📊 ДОПУЩЕНИЯ'!$C$5:$N$5,1,AD4)</f>
        <v/>
      </c>
      <c r="AE5" s="25">
        <f>INDEX('📊 ДОПУЩЕНИЯ'!$C$5:$N$5,1,AE4)</f>
        <v/>
      </c>
      <c r="AF5" s="25">
        <f>INDEX('📊 ДОПУЩЕНИЯ'!$C$5:$N$5,1,AF4)</f>
        <v/>
      </c>
      <c r="AG5" s="25">
        <f>INDEX('📊 ДОПУЩЕНИЯ'!$C$5:$N$5,1,AG4)</f>
        <v/>
      </c>
      <c r="AH5" s="25">
        <f>INDEX('📊 ДОПУЩЕНИЯ'!$C$5:$N$5,1,AH4)</f>
        <v/>
      </c>
      <c r="AI5" s="25">
        <f>INDEX('📊 ДОПУЩЕНИЯ'!$C$5:$N$5,1,AI4)</f>
        <v/>
      </c>
      <c r="AJ5" s="25">
        <f>INDEX('📊 ДОПУЩЕНИЯ'!$C$5:$N$5,1,AJ4)</f>
        <v/>
      </c>
      <c r="AK5" s="25">
        <f>INDEX('📊 ДОПУЩЕНИЯ'!$C$5:$N$5,1,AK4)</f>
        <v/>
      </c>
      <c r="AL5" s="25">
        <f>INDEX('📊 ДОПУЩЕНИЯ'!$C$5:$N$5,1,AL4)</f>
        <v/>
      </c>
    </row>
    <row r="6">
      <c r="A6" s="23" t="n"/>
      <c r="B6" s="23" t="inlineStr">
        <is>
          <t>Ramp-up</t>
        </is>
      </c>
      <c r="C6" s="25">
        <f>IF(1&lt;='⚙️ ПАРАМЕТРЫ'!$C$53,'⚙️ ПАРАМЕТРЫ'!$C$54+(1-'⚙️ ПАРАМЕТРЫ'!$C$54)*(1-1)/MAX('⚙️ ПАРАМЕТРЫ'!$C$53-1,1),1)</f>
        <v/>
      </c>
      <c r="D6" s="25">
        <f>IF(2&lt;='⚙️ ПАРАМЕТРЫ'!$C$53,'⚙️ ПАРАМЕТРЫ'!$C$54+(1-'⚙️ ПАРАМЕТРЫ'!$C$54)*(2-1)/MAX('⚙️ ПАРАМЕТРЫ'!$C$53-1,1),1)</f>
        <v/>
      </c>
      <c r="E6" s="25">
        <f>IF(3&lt;='⚙️ ПАРАМЕТРЫ'!$C$53,'⚙️ ПАРАМЕТРЫ'!$C$54+(1-'⚙️ ПАРАМЕТРЫ'!$C$54)*(3-1)/MAX('⚙️ ПАРАМЕТРЫ'!$C$53-1,1),1)</f>
        <v/>
      </c>
      <c r="F6" s="25">
        <f>IF(4&lt;='⚙️ ПАРАМЕТРЫ'!$C$53,'⚙️ ПАРАМЕТРЫ'!$C$54+(1-'⚙️ ПАРАМЕТРЫ'!$C$54)*(4-1)/MAX('⚙️ ПАРАМЕТРЫ'!$C$53-1,1),1)</f>
        <v/>
      </c>
      <c r="G6" s="25">
        <f>IF(5&lt;='⚙️ ПАРАМЕТРЫ'!$C$53,'⚙️ ПАРАМЕТРЫ'!$C$54+(1-'⚙️ ПАРАМЕТРЫ'!$C$54)*(5-1)/MAX('⚙️ ПАРАМЕТРЫ'!$C$53-1,1),1)</f>
        <v/>
      </c>
      <c r="H6" s="25">
        <f>IF(6&lt;='⚙️ ПАРАМЕТРЫ'!$C$53,'⚙️ ПАРАМЕТРЫ'!$C$54+(1-'⚙️ ПАРАМЕТРЫ'!$C$54)*(6-1)/MAX('⚙️ ПАРАМЕТРЫ'!$C$53-1,1),1)</f>
        <v/>
      </c>
      <c r="I6" s="25">
        <f>IF(7&lt;='⚙️ ПАРАМЕТРЫ'!$C$53,'⚙️ ПАРАМЕТРЫ'!$C$54+(1-'⚙️ ПАРАМЕТРЫ'!$C$54)*(7-1)/MAX('⚙️ ПАРАМЕТРЫ'!$C$53-1,1),1)</f>
        <v/>
      </c>
      <c r="J6" s="25">
        <f>IF(8&lt;='⚙️ ПАРАМЕТРЫ'!$C$53,'⚙️ ПАРАМЕТРЫ'!$C$54+(1-'⚙️ ПАРАМЕТРЫ'!$C$54)*(8-1)/MAX('⚙️ ПАРАМЕТРЫ'!$C$53-1,1),1)</f>
        <v/>
      </c>
      <c r="K6" s="25">
        <f>IF(9&lt;='⚙️ ПАРАМЕТРЫ'!$C$53,'⚙️ ПАРАМЕТРЫ'!$C$54+(1-'⚙️ ПАРАМЕТРЫ'!$C$54)*(9-1)/MAX('⚙️ ПАРАМЕТРЫ'!$C$53-1,1),1)</f>
        <v/>
      </c>
      <c r="L6" s="25">
        <f>IF(10&lt;='⚙️ ПАРАМЕТРЫ'!$C$53,'⚙️ ПАРАМЕТРЫ'!$C$54+(1-'⚙️ ПАРАМЕТРЫ'!$C$54)*(10-1)/MAX('⚙️ ПАРАМЕТРЫ'!$C$53-1,1),1)</f>
        <v/>
      </c>
      <c r="M6" s="25">
        <f>IF(11&lt;='⚙️ ПАРАМЕТРЫ'!$C$53,'⚙️ ПАРАМЕТРЫ'!$C$54+(1-'⚙️ ПАРАМЕТРЫ'!$C$54)*(11-1)/MAX('⚙️ ПАРАМЕТРЫ'!$C$53-1,1),1)</f>
        <v/>
      </c>
      <c r="N6" s="25">
        <f>IF(12&lt;='⚙️ ПАРАМЕТРЫ'!$C$53,'⚙️ ПАРАМЕТРЫ'!$C$54+(1-'⚙️ ПАРАМЕТРЫ'!$C$54)*(12-1)/MAX('⚙️ ПАРАМЕТРЫ'!$C$53-1,1),1)</f>
        <v/>
      </c>
      <c r="O6" s="25">
        <f>IF(13&lt;='⚙️ ПАРАМЕТРЫ'!$C$53,'⚙️ ПАРАМЕТРЫ'!$C$54+(1-'⚙️ ПАРАМЕТРЫ'!$C$54)*(13-1)/MAX('⚙️ ПАРАМЕТРЫ'!$C$53-1,1),1)</f>
        <v/>
      </c>
      <c r="P6" s="25">
        <f>IF(14&lt;='⚙️ ПАРАМЕТРЫ'!$C$53,'⚙️ ПАРАМЕТРЫ'!$C$54+(1-'⚙️ ПАРАМЕТРЫ'!$C$54)*(14-1)/MAX('⚙️ ПАРАМЕТРЫ'!$C$53-1,1),1)</f>
        <v/>
      </c>
      <c r="Q6" s="25">
        <f>IF(15&lt;='⚙️ ПАРАМЕТРЫ'!$C$53,'⚙️ ПАРАМЕТРЫ'!$C$54+(1-'⚙️ ПАРАМЕТРЫ'!$C$54)*(15-1)/MAX('⚙️ ПАРАМЕТРЫ'!$C$53-1,1),1)</f>
        <v/>
      </c>
      <c r="R6" s="25">
        <f>IF(16&lt;='⚙️ ПАРАМЕТРЫ'!$C$53,'⚙️ ПАРАМЕТРЫ'!$C$54+(1-'⚙️ ПАРАМЕТРЫ'!$C$54)*(16-1)/MAX('⚙️ ПАРАМЕТРЫ'!$C$53-1,1),1)</f>
        <v/>
      </c>
      <c r="S6" s="25">
        <f>IF(17&lt;='⚙️ ПАРАМЕТРЫ'!$C$53,'⚙️ ПАРАМЕТРЫ'!$C$54+(1-'⚙️ ПАРАМЕТРЫ'!$C$54)*(17-1)/MAX('⚙️ ПАРАМЕТРЫ'!$C$53-1,1),1)</f>
        <v/>
      </c>
      <c r="T6" s="25">
        <f>IF(18&lt;='⚙️ ПАРАМЕТРЫ'!$C$53,'⚙️ ПАРАМЕТРЫ'!$C$54+(1-'⚙️ ПАРАМЕТРЫ'!$C$54)*(18-1)/MAX('⚙️ ПАРАМЕТРЫ'!$C$53-1,1),1)</f>
        <v/>
      </c>
      <c r="U6" s="25">
        <f>IF(19&lt;='⚙️ ПАРАМЕТРЫ'!$C$53,'⚙️ ПАРАМЕТРЫ'!$C$54+(1-'⚙️ ПАРАМЕТРЫ'!$C$54)*(19-1)/MAX('⚙️ ПАРАМЕТРЫ'!$C$53-1,1),1)</f>
        <v/>
      </c>
      <c r="V6" s="25">
        <f>IF(20&lt;='⚙️ ПАРАМЕТРЫ'!$C$53,'⚙️ ПАРАМЕТРЫ'!$C$54+(1-'⚙️ ПАРАМЕТРЫ'!$C$54)*(20-1)/MAX('⚙️ ПАРАМЕТРЫ'!$C$53-1,1),1)</f>
        <v/>
      </c>
      <c r="W6" s="25">
        <f>IF(21&lt;='⚙️ ПАРАМЕТРЫ'!$C$53,'⚙️ ПАРАМЕТРЫ'!$C$54+(1-'⚙️ ПАРАМЕТРЫ'!$C$54)*(21-1)/MAX('⚙️ ПАРАМЕТРЫ'!$C$53-1,1),1)</f>
        <v/>
      </c>
      <c r="X6" s="25">
        <f>IF(22&lt;='⚙️ ПАРАМЕТРЫ'!$C$53,'⚙️ ПАРАМЕТРЫ'!$C$54+(1-'⚙️ ПАРАМЕТРЫ'!$C$54)*(22-1)/MAX('⚙️ ПАРАМЕТРЫ'!$C$53-1,1),1)</f>
        <v/>
      </c>
      <c r="Y6" s="25">
        <f>IF(23&lt;='⚙️ ПАРАМЕТРЫ'!$C$53,'⚙️ ПАРАМЕТРЫ'!$C$54+(1-'⚙️ ПАРАМЕТРЫ'!$C$54)*(23-1)/MAX('⚙️ ПАРАМЕТРЫ'!$C$53-1,1),1)</f>
        <v/>
      </c>
      <c r="Z6" s="25">
        <f>IF(24&lt;='⚙️ ПАРАМЕТРЫ'!$C$53,'⚙️ ПАРАМЕТРЫ'!$C$54+(1-'⚙️ ПАРАМЕТРЫ'!$C$54)*(24-1)/MAX('⚙️ ПАРАМЕТРЫ'!$C$53-1,1),1)</f>
        <v/>
      </c>
      <c r="AA6" s="25">
        <f>IF(25&lt;='⚙️ ПАРАМЕТРЫ'!$C$53,'⚙️ ПАРАМЕТРЫ'!$C$54+(1-'⚙️ ПАРАМЕТРЫ'!$C$54)*(25-1)/MAX('⚙️ ПАРАМЕТРЫ'!$C$53-1,1),1)</f>
        <v/>
      </c>
      <c r="AB6" s="25">
        <f>IF(26&lt;='⚙️ ПАРАМЕТРЫ'!$C$53,'⚙️ ПАРАМЕТРЫ'!$C$54+(1-'⚙️ ПАРАМЕТРЫ'!$C$54)*(26-1)/MAX('⚙️ ПАРАМЕТРЫ'!$C$53-1,1),1)</f>
        <v/>
      </c>
      <c r="AC6" s="25">
        <f>IF(27&lt;='⚙️ ПАРАМЕТРЫ'!$C$53,'⚙️ ПАРАМЕТРЫ'!$C$54+(1-'⚙️ ПАРАМЕТРЫ'!$C$54)*(27-1)/MAX('⚙️ ПАРАМЕТРЫ'!$C$53-1,1),1)</f>
        <v/>
      </c>
      <c r="AD6" s="25">
        <f>IF(28&lt;='⚙️ ПАРАМЕТРЫ'!$C$53,'⚙️ ПАРАМЕТРЫ'!$C$54+(1-'⚙️ ПАРАМЕТРЫ'!$C$54)*(28-1)/MAX('⚙️ ПАРАМЕТРЫ'!$C$53-1,1),1)</f>
        <v/>
      </c>
      <c r="AE6" s="25">
        <f>IF(29&lt;='⚙️ ПАРАМЕТРЫ'!$C$53,'⚙️ ПАРАМЕТРЫ'!$C$54+(1-'⚙️ ПАРАМЕТРЫ'!$C$54)*(29-1)/MAX('⚙️ ПАРАМЕТРЫ'!$C$53-1,1),1)</f>
        <v/>
      </c>
      <c r="AF6" s="25">
        <f>IF(30&lt;='⚙️ ПАРАМЕТРЫ'!$C$53,'⚙️ ПАРАМЕТРЫ'!$C$54+(1-'⚙️ ПАРАМЕТРЫ'!$C$54)*(30-1)/MAX('⚙️ ПАРАМЕТРЫ'!$C$53-1,1),1)</f>
        <v/>
      </c>
      <c r="AG6" s="25">
        <f>IF(31&lt;='⚙️ ПАРАМЕТРЫ'!$C$53,'⚙️ ПАРАМЕТРЫ'!$C$54+(1-'⚙️ ПАРАМЕТРЫ'!$C$54)*(31-1)/MAX('⚙️ ПАРАМЕТРЫ'!$C$53-1,1),1)</f>
        <v/>
      </c>
      <c r="AH6" s="25">
        <f>IF(32&lt;='⚙️ ПАРАМЕТРЫ'!$C$53,'⚙️ ПАРАМЕТРЫ'!$C$54+(1-'⚙️ ПАРАМЕТРЫ'!$C$54)*(32-1)/MAX('⚙️ ПАРАМЕТРЫ'!$C$53-1,1),1)</f>
        <v/>
      </c>
      <c r="AI6" s="25">
        <f>IF(33&lt;='⚙️ ПАРАМЕТРЫ'!$C$53,'⚙️ ПАРАМЕТРЫ'!$C$54+(1-'⚙️ ПАРАМЕТРЫ'!$C$54)*(33-1)/MAX('⚙️ ПАРАМЕТРЫ'!$C$53-1,1),1)</f>
        <v/>
      </c>
      <c r="AJ6" s="25">
        <f>IF(34&lt;='⚙️ ПАРАМЕТРЫ'!$C$53,'⚙️ ПАРАМЕТРЫ'!$C$54+(1-'⚙️ ПАРАМЕТРЫ'!$C$54)*(34-1)/MAX('⚙️ ПАРАМЕТРЫ'!$C$53-1,1),1)</f>
        <v/>
      </c>
      <c r="AK6" s="25">
        <f>IF(35&lt;='⚙️ ПАРАМЕТРЫ'!$C$53,'⚙️ ПАРАМЕТРЫ'!$C$54+(1-'⚙️ ПАРАМЕТРЫ'!$C$54)*(35-1)/MAX('⚙️ ПАРАМЕТРЫ'!$C$53-1,1),1)</f>
        <v/>
      </c>
      <c r="AL6" s="25">
        <f>IF(36&lt;='⚙️ ПАРАМЕТРЫ'!$C$53,'⚙️ ПАРАМЕТРЫ'!$C$54+(1-'⚙️ ПАРАМЕТРЫ'!$C$54)*(36-1)/MAX('⚙️ ПАРАМЕТРЫ'!$C$53-1,1),1)</f>
        <v/>
      </c>
    </row>
    <row r="7">
      <c r="A7" s="9" t="n"/>
      <c r="B7" s="9" t="inlineStr">
        <is>
          <t>ВЫРУЧКА</t>
        </is>
      </c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5" t="n"/>
      <c r="AI7" s="65" t="n"/>
      <c r="AJ7" s="65" t="n"/>
      <c r="AK7" s="65" t="n"/>
      <c r="AL7" s="66" t="n"/>
    </row>
    <row r="8">
      <c r="A8" s="23" t="n"/>
      <c r="B8" s="23" t="inlineStr">
        <is>
          <t>Множитель роста трафика</t>
        </is>
      </c>
      <c r="C8" s="73">
        <f>(1+'⚙️ ПАРАМЕТРЫ'!$C$16)^INT((1-1)/12)</f>
        <v/>
      </c>
      <c r="D8" s="73">
        <f>(1+'⚙️ ПАРАМЕТРЫ'!$C$16)^INT((2-1)/12)</f>
        <v/>
      </c>
      <c r="E8" s="73">
        <f>(1+'⚙️ ПАРАМЕТРЫ'!$C$16)^INT((3-1)/12)</f>
        <v/>
      </c>
      <c r="F8" s="73">
        <f>(1+'⚙️ ПАРАМЕТРЫ'!$C$16)^INT((4-1)/12)</f>
        <v/>
      </c>
      <c r="G8" s="73">
        <f>(1+'⚙️ ПАРАМЕТРЫ'!$C$16)^INT((5-1)/12)</f>
        <v/>
      </c>
      <c r="H8" s="73">
        <f>(1+'⚙️ ПАРАМЕТРЫ'!$C$16)^INT((6-1)/12)</f>
        <v/>
      </c>
      <c r="I8" s="73">
        <f>(1+'⚙️ ПАРАМЕТРЫ'!$C$16)^INT((7-1)/12)</f>
        <v/>
      </c>
      <c r="J8" s="73">
        <f>(1+'⚙️ ПАРАМЕТРЫ'!$C$16)^INT((8-1)/12)</f>
        <v/>
      </c>
      <c r="K8" s="73">
        <f>(1+'⚙️ ПАРАМЕТРЫ'!$C$16)^INT((9-1)/12)</f>
        <v/>
      </c>
      <c r="L8" s="73">
        <f>(1+'⚙️ ПАРАМЕТРЫ'!$C$16)^INT((10-1)/12)</f>
        <v/>
      </c>
      <c r="M8" s="73">
        <f>(1+'⚙️ ПАРАМЕТРЫ'!$C$16)^INT((11-1)/12)</f>
        <v/>
      </c>
      <c r="N8" s="73">
        <f>(1+'⚙️ ПАРАМЕТРЫ'!$C$16)^INT((12-1)/12)</f>
        <v/>
      </c>
      <c r="O8" s="73">
        <f>(1+'⚙️ ПАРАМЕТРЫ'!$C$16)^INT((13-1)/12)</f>
        <v/>
      </c>
      <c r="P8" s="73">
        <f>(1+'⚙️ ПАРАМЕТРЫ'!$C$16)^INT((14-1)/12)</f>
        <v/>
      </c>
      <c r="Q8" s="73">
        <f>(1+'⚙️ ПАРАМЕТРЫ'!$C$16)^INT((15-1)/12)</f>
        <v/>
      </c>
      <c r="R8" s="73">
        <f>(1+'⚙️ ПАРАМЕТРЫ'!$C$16)^INT((16-1)/12)</f>
        <v/>
      </c>
      <c r="S8" s="73">
        <f>(1+'⚙️ ПАРАМЕТРЫ'!$C$16)^INT((17-1)/12)</f>
        <v/>
      </c>
      <c r="T8" s="73">
        <f>(1+'⚙️ ПАРАМЕТРЫ'!$C$16)^INT((18-1)/12)</f>
        <v/>
      </c>
      <c r="U8" s="73">
        <f>(1+'⚙️ ПАРАМЕТРЫ'!$C$16)^INT((19-1)/12)</f>
        <v/>
      </c>
      <c r="V8" s="73">
        <f>(1+'⚙️ ПАРАМЕТРЫ'!$C$16)^INT((20-1)/12)</f>
        <v/>
      </c>
      <c r="W8" s="73">
        <f>(1+'⚙️ ПАРАМЕТРЫ'!$C$16)^INT((21-1)/12)</f>
        <v/>
      </c>
      <c r="X8" s="73">
        <f>(1+'⚙️ ПАРАМЕТРЫ'!$C$16)^INT((22-1)/12)</f>
        <v/>
      </c>
      <c r="Y8" s="73">
        <f>(1+'⚙️ ПАРАМЕТРЫ'!$C$16)^INT((23-1)/12)</f>
        <v/>
      </c>
      <c r="Z8" s="73">
        <f>(1+'⚙️ ПАРАМЕТРЫ'!$C$16)^INT((24-1)/12)</f>
        <v/>
      </c>
      <c r="AA8" s="73">
        <f>(1+'⚙️ ПАРАМЕТРЫ'!$C$16)^INT((25-1)/12)</f>
        <v/>
      </c>
      <c r="AB8" s="73">
        <f>(1+'⚙️ ПАРАМЕТРЫ'!$C$16)^INT((26-1)/12)</f>
        <v/>
      </c>
      <c r="AC8" s="73">
        <f>(1+'⚙️ ПАРАМЕТРЫ'!$C$16)^INT((27-1)/12)</f>
        <v/>
      </c>
      <c r="AD8" s="73">
        <f>(1+'⚙️ ПАРАМЕТРЫ'!$C$16)^INT((28-1)/12)</f>
        <v/>
      </c>
      <c r="AE8" s="73">
        <f>(1+'⚙️ ПАРАМЕТРЫ'!$C$16)^INT((29-1)/12)</f>
        <v/>
      </c>
      <c r="AF8" s="73">
        <f>(1+'⚙️ ПАРАМЕТРЫ'!$C$16)^INT((30-1)/12)</f>
        <v/>
      </c>
      <c r="AG8" s="73">
        <f>(1+'⚙️ ПАРАМЕТРЫ'!$C$16)^INT((31-1)/12)</f>
        <v/>
      </c>
      <c r="AH8" s="73">
        <f>(1+'⚙️ ПАРАМЕТРЫ'!$C$16)^INT((32-1)/12)</f>
        <v/>
      </c>
      <c r="AI8" s="73">
        <f>(1+'⚙️ ПАРАМЕТРЫ'!$C$16)^INT((33-1)/12)</f>
        <v/>
      </c>
      <c r="AJ8" s="73">
        <f>(1+'⚙️ ПАРАМЕТРЫ'!$C$16)^INT((34-1)/12)</f>
        <v/>
      </c>
      <c r="AK8" s="73">
        <f>(1+'⚙️ ПАРАМЕТРЫ'!$C$16)^INT((35-1)/12)</f>
        <v/>
      </c>
      <c r="AL8" s="73">
        <f>(1+'⚙️ ПАРАМЕТРЫ'!$C$16)^INT((36-1)/12)</f>
        <v/>
      </c>
    </row>
    <row r="9">
      <c r="A9" s="23" t="n"/>
      <c r="B9" s="23" t="inlineStr">
        <is>
          <t>Множитель роста чека</t>
        </is>
      </c>
      <c r="C9" s="73">
        <f>(1+'⚙️ ПАРАМЕТРЫ'!$C$17)^INT((1-1)/12)</f>
        <v/>
      </c>
      <c r="D9" s="73">
        <f>(1+'⚙️ ПАРАМЕТРЫ'!$C$17)^INT((2-1)/12)</f>
        <v/>
      </c>
      <c r="E9" s="73">
        <f>(1+'⚙️ ПАРАМЕТРЫ'!$C$17)^INT((3-1)/12)</f>
        <v/>
      </c>
      <c r="F9" s="73">
        <f>(1+'⚙️ ПАРАМЕТРЫ'!$C$17)^INT((4-1)/12)</f>
        <v/>
      </c>
      <c r="G9" s="73">
        <f>(1+'⚙️ ПАРАМЕТРЫ'!$C$17)^INT((5-1)/12)</f>
        <v/>
      </c>
      <c r="H9" s="73">
        <f>(1+'⚙️ ПАРАМЕТРЫ'!$C$17)^INT((6-1)/12)</f>
        <v/>
      </c>
      <c r="I9" s="73">
        <f>(1+'⚙️ ПАРАМЕТРЫ'!$C$17)^INT((7-1)/12)</f>
        <v/>
      </c>
      <c r="J9" s="73">
        <f>(1+'⚙️ ПАРАМЕТРЫ'!$C$17)^INT((8-1)/12)</f>
        <v/>
      </c>
      <c r="K9" s="73">
        <f>(1+'⚙️ ПАРАМЕТРЫ'!$C$17)^INT((9-1)/12)</f>
        <v/>
      </c>
      <c r="L9" s="73">
        <f>(1+'⚙️ ПАРАМЕТРЫ'!$C$17)^INT((10-1)/12)</f>
        <v/>
      </c>
      <c r="M9" s="73">
        <f>(1+'⚙️ ПАРАМЕТРЫ'!$C$17)^INT((11-1)/12)</f>
        <v/>
      </c>
      <c r="N9" s="73">
        <f>(1+'⚙️ ПАРАМЕТРЫ'!$C$17)^INT((12-1)/12)</f>
        <v/>
      </c>
      <c r="O9" s="73">
        <f>(1+'⚙️ ПАРАМЕТРЫ'!$C$17)^INT((13-1)/12)</f>
        <v/>
      </c>
      <c r="P9" s="73">
        <f>(1+'⚙️ ПАРАМЕТРЫ'!$C$17)^INT((14-1)/12)</f>
        <v/>
      </c>
      <c r="Q9" s="73">
        <f>(1+'⚙️ ПАРАМЕТРЫ'!$C$17)^INT((15-1)/12)</f>
        <v/>
      </c>
      <c r="R9" s="73">
        <f>(1+'⚙️ ПАРАМЕТРЫ'!$C$17)^INT((16-1)/12)</f>
        <v/>
      </c>
      <c r="S9" s="73">
        <f>(1+'⚙️ ПАРАМЕТРЫ'!$C$17)^INT((17-1)/12)</f>
        <v/>
      </c>
      <c r="T9" s="73">
        <f>(1+'⚙️ ПАРАМЕТРЫ'!$C$17)^INT((18-1)/12)</f>
        <v/>
      </c>
      <c r="U9" s="73">
        <f>(1+'⚙️ ПАРАМЕТРЫ'!$C$17)^INT((19-1)/12)</f>
        <v/>
      </c>
      <c r="V9" s="73">
        <f>(1+'⚙️ ПАРАМЕТРЫ'!$C$17)^INT((20-1)/12)</f>
        <v/>
      </c>
      <c r="W9" s="73">
        <f>(1+'⚙️ ПАРАМЕТРЫ'!$C$17)^INT((21-1)/12)</f>
        <v/>
      </c>
      <c r="X9" s="73">
        <f>(1+'⚙️ ПАРАМЕТРЫ'!$C$17)^INT((22-1)/12)</f>
        <v/>
      </c>
      <c r="Y9" s="73">
        <f>(1+'⚙️ ПАРАМЕТРЫ'!$C$17)^INT((23-1)/12)</f>
        <v/>
      </c>
      <c r="Z9" s="73">
        <f>(1+'⚙️ ПАРАМЕТРЫ'!$C$17)^INT((24-1)/12)</f>
        <v/>
      </c>
      <c r="AA9" s="73">
        <f>(1+'⚙️ ПАРАМЕТРЫ'!$C$17)^INT((25-1)/12)</f>
        <v/>
      </c>
      <c r="AB9" s="73">
        <f>(1+'⚙️ ПАРАМЕТРЫ'!$C$17)^INT((26-1)/12)</f>
        <v/>
      </c>
      <c r="AC9" s="73">
        <f>(1+'⚙️ ПАРАМЕТРЫ'!$C$17)^INT((27-1)/12)</f>
        <v/>
      </c>
      <c r="AD9" s="73">
        <f>(1+'⚙️ ПАРАМЕТРЫ'!$C$17)^INT((28-1)/12)</f>
        <v/>
      </c>
      <c r="AE9" s="73">
        <f>(1+'⚙️ ПАРАМЕТРЫ'!$C$17)^INT((29-1)/12)</f>
        <v/>
      </c>
      <c r="AF9" s="73">
        <f>(1+'⚙️ ПАРАМЕТРЫ'!$C$17)^INT((30-1)/12)</f>
        <v/>
      </c>
      <c r="AG9" s="73">
        <f>(1+'⚙️ ПАРАМЕТРЫ'!$C$17)^INT((31-1)/12)</f>
        <v/>
      </c>
      <c r="AH9" s="73">
        <f>(1+'⚙️ ПАРАМЕТРЫ'!$C$17)^INT((32-1)/12)</f>
        <v/>
      </c>
      <c r="AI9" s="73">
        <f>(1+'⚙️ ПАРАМЕТРЫ'!$C$17)^INT((33-1)/12)</f>
        <v/>
      </c>
      <c r="AJ9" s="73">
        <f>(1+'⚙️ ПАРАМЕТРЫ'!$C$17)^INT((34-1)/12)</f>
        <v/>
      </c>
      <c r="AK9" s="73">
        <f>(1+'⚙️ ПАРАМЕТРЫ'!$C$17)^INT((35-1)/12)</f>
        <v/>
      </c>
      <c r="AL9" s="73">
        <f>(1+'⚙️ ПАРАМЕТРЫ'!$C$17)^INT((36-1)/12)</f>
        <v/>
      </c>
    </row>
    <row r="10">
      <c r="A10" s="11" t="n"/>
      <c r="B10" s="11" t="inlineStr">
        <is>
          <t>Клиентов/день</t>
        </is>
      </c>
      <c r="C10" s="27">
        <f>ROUND('⚙️ ПАРАМЕТРЫ'!$C$14*C5*C6*C8,0)</f>
        <v/>
      </c>
      <c r="D10" s="27">
        <f>ROUND('⚙️ ПАРАМЕТРЫ'!$C$14*D5*D6*D8,0)</f>
        <v/>
      </c>
      <c r="E10" s="27">
        <f>ROUND('⚙️ ПАРАМЕТРЫ'!$C$14*E5*E6*E8,0)</f>
        <v/>
      </c>
      <c r="F10" s="27">
        <f>ROUND('⚙️ ПАРАМЕТРЫ'!$C$14*F5*F6*F8,0)</f>
        <v/>
      </c>
      <c r="G10" s="27">
        <f>ROUND('⚙️ ПАРАМЕТРЫ'!$C$14*G5*G6*G8,0)</f>
        <v/>
      </c>
      <c r="H10" s="27">
        <f>ROUND('⚙️ ПАРАМЕТРЫ'!$C$14*H5*H6*H8,0)</f>
        <v/>
      </c>
      <c r="I10" s="27">
        <f>ROUND('⚙️ ПАРАМЕТРЫ'!$C$14*I5*I6*I8,0)</f>
        <v/>
      </c>
      <c r="J10" s="27">
        <f>ROUND('⚙️ ПАРАМЕТРЫ'!$C$14*J5*J6*J8,0)</f>
        <v/>
      </c>
      <c r="K10" s="27">
        <f>ROUND('⚙️ ПАРАМЕТРЫ'!$C$14*K5*K6*K8,0)</f>
        <v/>
      </c>
      <c r="L10" s="27">
        <f>ROUND('⚙️ ПАРАМЕТРЫ'!$C$14*L5*L6*L8,0)</f>
        <v/>
      </c>
      <c r="M10" s="27">
        <f>ROUND('⚙️ ПАРАМЕТРЫ'!$C$14*M5*M6*M8,0)</f>
        <v/>
      </c>
      <c r="N10" s="27">
        <f>ROUND('⚙️ ПАРАМЕТРЫ'!$C$14*N5*N6*N8,0)</f>
        <v/>
      </c>
      <c r="O10" s="27">
        <f>ROUND('⚙️ ПАРАМЕТРЫ'!$C$14*O5*O6*O8,0)</f>
        <v/>
      </c>
      <c r="P10" s="27">
        <f>ROUND('⚙️ ПАРАМЕТРЫ'!$C$14*P5*P6*P8,0)</f>
        <v/>
      </c>
      <c r="Q10" s="27">
        <f>ROUND('⚙️ ПАРАМЕТРЫ'!$C$14*Q5*Q6*Q8,0)</f>
        <v/>
      </c>
      <c r="R10" s="27">
        <f>ROUND('⚙️ ПАРАМЕТРЫ'!$C$14*R5*R6*R8,0)</f>
        <v/>
      </c>
      <c r="S10" s="27">
        <f>ROUND('⚙️ ПАРАМЕТРЫ'!$C$14*S5*S6*S8,0)</f>
        <v/>
      </c>
      <c r="T10" s="27">
        <f>ROUND('⚙️ ПАРАМЕТРЫ'!$C$14*T5*T6*T8,0)</f>
        <v/>
      </c>
      <c r="U10" s="27">
        <f>ROUND('⚙️ ПАРАМЕТРЫ'!$C$14*U5*U6*U8,0)</f>
        <v/>
      </c>
      <c r="V10" s="27">
        <f>ROUND('⚙️ ПАРАМЕТРЫ'!$C$14*V5*V6*V8,0)</f>
        <v/>
      </c>
      <c r="W10" s="27">
        <f>ROUND('⚙️ ПАРАМЕТРЫ'!$C$14*W5*W6*W8,0)</f>
        <v/>
      </c>
      <c r="X10" s="27">
        <f>ROUND('⚙️ ПАРАМЕТРЫ'!$C$14*X5*X6*X8,0)</f>
        <v/>
      </c>
      <c r="Y10" s="27">
        <f>ROUND('⚙️ ПАРАМЕТРЫ'!$C$14*Y5*Y6*Y8,0)</f>
        <v/>
      </c>
      <c r="Z10" s="27">
        <f>ROUND('⚙️ ПАРАМЕТРЫ'!$C$14*Z5*Z6*Z8,0)</f>
        <v/>
      </c>
      <c r="AA10" s="27">
        <f>ROUND('⚙️ ПАРАМЕТРЫ'!$C$14*AA5*AA6*AA8,0)</f>
        <v/>
      </c>
      <c r="AB10" s="27">
        <f>ROUND('⚙️ ПАРАМЕТРЫ'!$C$14*AB5*AB6*AB8,0)</f>
        <v/>
      </c>
      <c r="AC10" s="27">
        <f>ROUND('⚙️ ПАРАМЕТРЫ'!$C$14*AC5*AC6*AC8,0)</f>
        <v/>
      </c>
      <c r="AD10" s="27">
        <f>ROUND('⚙️ ПАРАМЕТРЫ'!$C$14*AD5*AD6*AD8,0)</f>
        <v/>
      </c>
      <c r="AE10" s="27">
        <f>ROUND('⚙️ ПАРАМЕТРЫ'!$C$14*AE5*AE6*AE8,0)</f>
        <v/>
      </c>
      <c r="AF10" s="27">
        <f>ROUND('⚙️ ПАРАМЕТРЫ'!$C$14*AF5*AF6*AF8,0)</f>
        <v/>
      </c>
      <c r="AG10" s="27">
        <f>ROUND('⚙️ ПАРАМЕТРЫ'!$C$14*AG5*AG6*AG8,0)</f>
        <v/>
      </c>
      <c r="AH10" s="27">
        <f>ROUND('⚙️ ПАРАМЕТРЫ'!$C$14*AH5*AH6*AH8,0)</f>
        <v/>
      </c>
      <c r="AI10" s="27">
        <f>ROUND('⚙️ ПАРАМЕТРЫ'!$C$14*AI5*AI6*AI8,0)</f>
        <v/>
      </c>
      <c r="AJ10" s="27">
        <f>ROUND('⚙️ ПАРАМЕТРЫ'!$C$14*AJ5*AJ6*AJ8,0)</f>
        <v/>
      </c>
      <c r="AK10" s="27">
        <f>ROUND('⚙️ ПАРАМЕТРЫ'!$C$14*AK5*AK6*AK8,0)</f>
        <v/>
      </c>
      <c r="AL10" s="27">
        <f>ROUND('⚙️ ПАРАМЕТРЫ'!$C$14*AL5*AL6*AL8,0)</f>
        <v/>
      </c>
    </row>
    <row r="11">
      <c r="A11" s="11" t="n"/>
      <c r="B11" s="11" t="inlineStr">
        <is>
          <t>Средний чек</t>
        </is>
      </c>
      <c r="C11" s="74">
        <f>ROUND('⚙️ ПАРАМЕТРЫ'!$C$13*C9,0)</f>
        <v/>
      </c>
      <c r="D11" s="74">
        <f>ROUND('⚙️ ПАРАМЕТРЫ'!$C$13*D9,0)</f>
        <v/>
      </c>
      <c r="E11" s="74">
        <f>ROUND('⚙️ ПАРАМЕТРЫ'!$C$13*E9,0)</f>
        <v/>
      </c>
      <c r="F11" s="74">
        <f>ROUND('⚙️ ПАРАМЕТРЫ'!$C$13*F9,0)</f>
        <v/>
      </c>
      <c r="G11" s="74">
        <f>ROUND('⚙️ ПАРАМЕТРЫ'!$C$13*G9,0)</f>
        <v/>
      </c>
      <c r="H11" s="74">
        <f>ROUND('⚙️ ПАРАМЕТРЫ'!$C$13*H9,0)</f>
        <v/>
      </c>
      <c r="I11" s="74">
        <f>ROUND('⚙️ ПАРАМЕТРЫ'!$C$13*I9,0)</f>
        <v/>
      </c>
      <c r="J11" s="74">
        <f>ROUND('⚙️ ПАРАМЕТРЫ'!$C$13*J9,0)</f>
        <v/>
      </c>
      <c r="K11" s="74">
        <f>ROUND('⚙️ ПАРАМЕТРЫ'!$C$13*K9,0)</f>
        <v/>
      </c>
      <c r="L11" s="74">
        <f>ROUND('⚙️ ПАРАМЕТРЫ'!$C$13*L9,0)</f>
        <v/>
      </c>
      <c r="M11" s="74">
        <f>ROUND('⚙️ ПАРАМЕТРЫ'!$C$13*M9,0)</f>
        <v/>
      </c>
      <c r="N11" s="74">
        <f>ROUND('⚙️ ПАРАМЕТРЫ'!$C$13*N9,0)</f>
        <v/>
      </c>
      <c r="O11" s="74">
        <f>ROUND('⚙️ ПАРАМЕТРЫ'!$C$13*O9,0)</f>
        <v/>
      </c>
      <c r="P11" s="74">
        <f>ROUND('⚙️ ПАРАМЕТРЫ'!$C$13*P9,0)</f>
        <v/>
      </c>
      <c r="Q11" s="74">
        <f>ROUND('⚙️ ПАРАМЕТРЫ'!$C$13*Q9,0)</f>
        <v/>
      </c>
      <c r="R11" s="74">
        <f>ROUND('⚙️ ПАРАМЕТРЫ'!$C$13*R9,0)</f>
        <v/>
      </c>
      <c r="S11" s="74">
        <f>ROUND('⚙️ ПАРАМЕТРЫ'!$C$13*S9,0)</f>
        <v/>
      </c>
      <c r="T11" s="74">
        <f>ROUND('⚙️ ПАРАМЕТРЫ'!$C$13*T9,0)</f>
        <v/>
      </c>
      <c r="U11" s="74">
        <f>ROUND('⚙️ ПАРАМЕТРЫ'!$C$13*U9,0)</f>
        <v/>
      </c>
      <c r="V11" s="74">
        <f>ROUND('⚙️ ПАРАМЕТРЫ'!$C$13*V9,0)</f>
        <v/>
      </c>
      <c r="W11" s="74">
        <f>ROUND('⚙️ ПАРАМЕТРЫ'!$C$13*W9,0)</f>
        <v/>
      </c>
      <c r="X11" s="74">
        <f>ROUND('⚙️ ПАРАМЕТРЫ'!$C$13*X9,0)</f>
        <v/>
      </c>
      <c r="Y11" s="74">
        <f>ROUND('⚙️ ПАРАМЕТРЫ'!$C$13*Y9,0)</f>
        <v/>
      </c>
      <c r="Z11" s="74">
        <f>ROUND('⚙️ ПАРАМЕТРЫ'!$C$13*Z9,0)</f>
        <v/>
      </c>
      <c r="AA11" s="74">
        <f>ROUND('⚙️ ПАРАМЕТРЫ'!$C$13*AA9,0)</f>
        <v/>
      </c>
      <c r="AB11" s="74">
        <f>ROUND('⚙️ ПАРАМЕТРЫ'!$C$13*AB9,0)</f>
        <v/>
      </c>
      <c r="AC11" s="74">
        <f>ROUND('⚙️ ПАРАМЕТРЫ'!$C$13*AC9,0)</f>
        <v/>
      </c>
      <c r="AD11" s="74">
        <f>ROUND('⚙️ ПАРАМЕТРЫ'!$C$13*AD9,0)</f>
        <v/>
      </c>
      <c r="AE11" s="74">
        <f>ROUND('⚙️ ПАРАМЕТРЫ'!$C$13*AE9,0)</f>
        <v/>
      </c>
      <c r="AF11" s="74">
        <f>ROUND('⚙️ ПАРАМЕТРЫ'!$C$13*AF9,0)</f>
        <v/>
      </c>
      <c r="AG11" s="74">
        <f>ROUND('⚙️ ПАРАМЕТРЫ'!$C$13*AG9,0)</f>
        <v/>
      </c>
      <c r="AH11" s="74">
        <f>ROUND('⚙️ ПАРАМЕТРЫ'!$C$13*AH9,0)</f>
        <v/>
      </c>
      <c r="AI11" s="74">
        <f>ROUND('⚙️ ПАРАМЕТРЫ'!$C$13*AI9,0)</f>
        <v/>
      </c>
      <c r="AJ11" s="74">
        <f>ROUND('⚙️ ПАРАМЕТРЫ'!$C$13*AJ9,0)</f>
        <v/>
      </c>
      <c r="AK11" s="74">
        <f>ROUND('⚙️ ПАРАМЕТРЫ'!$C$13*AK9,0)</f>
        <v/>
      </c>
      <c r="AL11" s="74">
        <f>ROUND('⚙️ ПАРАМЕТРЫ'!$C$13*AL9,0)</f>
        <v/>
      </c>
    </row>
    <row r="12">
      <c r="A12" s="13" t="n"/>
      <c r="B12" s="13" t="inlineStr">
        <is>
          <t>ВЫРУЧКА</t>
        </is>
      </c>
      <c r="C12" s="75">
        <f>C10*C11*'⚙️ ПАРАМЕТРЫ'!$C$15</f>
        <v/>
      </c>
      <c r="D12" s="75">
        <f>D10*D11*'⚙️ ПАРАМЕТРЫ'!$C$15</f>
        <v/>
      </c>
      <c r="E12" s="75">
        <f>E10*E11*'⚙️ ПАРАМЕТРЫ'!$C$15</f>
        <v/>
      </c>
      <c r="F12" s="75">
        <f>F10*F11*'⚙️ ПАРАМЕТРЫ'!$C$15</f>
        <v/>
      </c>
      <c r="G12" s="75">
        <f>G10*G11*'⚙️ ПАРАМЕТРЫ'!$C$15</f>
        <v/>
      </c>
      <c r="H12" s="75">
        <f>H10*H11*'⚙️ ПАРАМЕТРЫ'!$C$15</f>
        <v/>
      </c>
      <c r="I12" s="75">
        <f>I10*I11*'⚙️ ПАРАМЕТРЫ'!$C$15</f>
        <v/>
      </c>
      <c r="J12" s="75">
        <f>J10*J11*'⚙️ ПАРАМЕТРЫ'!$C$15</f>
        <v/>
      </c>
      <c r="K12" s="75">
        <f>K10*K11*'⚙️ ПАРАМЕТРЫ'!$C$15</f>
        <v/>
      </c>
      <c r="L12" s="75">
        <f>L10*L11*'⚙️ ПАРАМЕТРЫ'!$C$15</f>
        <v/>
      </c>
      <c r="M12" s="75">
        <f>M10*M11*'⚙️ ПАРАМЕТРЫ'!$C$15</f>
        <v/>
      </c>
      <c r="N12" s="75">
        <f>N10*N11*'⚙️ ПАРАМЕТРЫ'!$C$15</f>
        <v/>
      </c>
      <c r="O12" s="75">
        <f>O10*O11*'⚙️ ПАРАМЕТРЫ'!$C$15</f>
        <v/>
      </c>
      <c r="P12" s="75">
        <f>P10*P11*'⚙️ ПАРАМЕТРЫ'!$C$15</f>
        <v/>
      </c>
      <c r="Q12" s="75">
        <f>Q10*Q11*'⚙️ ПАРАМЕТРЫ'!$C$15</f>
        <v/>
      </c>
      <c r="R12" s="75">
        <f>R10*R11*'⚙️ ПАРАМЕТРЫ'!$C$15</f>
        <v/>
      </c>
      <c r="S12" s="75">
        <f>S10*S11*'⚙️ ПАРАМЕТРЫ'!$C$15</f>
        <v/>
      </c>
      <c r="T12" s="75">
        <f>T10*T11*'⚙️ ПАРАМЕТРЫ'!$C$15</f>
        <v/>
      </c>
      <c r="U12" s="75">
        <f>U10*U11*'⚙️ ПАРАМЕТРЫ'!$C$15</f>
        <v/>
      </c>
      <c r="V12" s="75">
        <f>V10*V11*'⚙️ ПАРАМЕТРЫ'!$C$15</f>
        <v/>
      </c>
      <c r="W12" s="75">
        <f>W10*W11*'⚙️ ПАРАМЕТРЫ'!$C$15</f>
        <v/>
      </c>
      <c r="X12" s="75">
        <f>X10*X11*'⚙️ ПАРАМЕТРЫ'!$C$15</f>
        <v/>
      </c>
      <c r="Y12" s="75">
        <f>Y10*Y11*'⚙️ ПАРАМЕТРЫ'!$C$15</f>
        <v/>
      </c>
      <c r="Z12" s="75">
        <f>Z10*Z11*'⚙️ ПАРАМЕТРЫ'!$C$15</f>
        <v/>
      </c>
      <c r="AA12" s="75">
        <f>AA10*AA11*'⚙️ ПАРАМЕТРЫ'!$C$15</f>
        <v/>
      </c>
      <c r="AB12" s="75">
        <f>AB10*AB11*'⚙️ ПАРАМЕТРЫ'!$C$15</f>
        <v/>
      </c>
      <c r="AC12" s="75">
        <f>AC10*AC11*'⚙️ ПАРАМЕТРЫ'!$C$15</f>
        <v/>
      </c>
      <c r="AD12" s="75">
        <f>AD10*AD11*'⚙️ ПАРАМЕТРЫ'!$C$15</f>
        <v/>
      </c>
      <c r="AE12" s="75">
        <f>AE10*AE11*'⚙️ ПАРАМЕТРЫ'!$C$15</f>
        <v/>
      </c>
      <c r="AF12" s="75">
        <f>AF10*AF11*'⚙️ ПАРАМЕТРЫ'!$C$15</f>
        <v/>
      </c>
      <c r="AG12" s="75">
        <f>AG10*AG11*'⚙️ ПАРАМЕТРЫ'!$C$15</f>
        <v/>
      </c>
      <c r="AH12" s="75">
        <f>AH10*AH11*'⚙️ ПАРАМЕТРЫ'!$C$15</f>
        <v/>
      </c>
      <c r="AI12" s="75">
        <f>AI10*AI11*'⚙️ ПАРАМЕТРЫ'!$C$15</f>
        <v/>
      </c>
      <c r="AJ12" s="75">
        <f>AJ10*AJ11*'⚙️ ПАРАМЕТРЫ'!$C$15</f>
        <v/>
      </c>
      <c r="AK12" s="75">
        <f>AK10*AK11*'⚙️ ПАРАМЕТРЫ'!$C$15</f>
        <v/>
      </c>
      <c r="AL12" s="75">
        <f>AL10*AL11*'⚙️ ПАРАМЕТРЫ'!$C$15</f>
        <v/>
      </c>
    </row>
    <row r="13">
      <c r="A13" s="9" t="n"/>
      <c r="B13" s="9" t="inlineStr">
        <is>
          <t>ПРЯМЫЕ РАСХОДЫ</t>
        </is>
      </c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5" t="n"/>
      <c r="AI13" s="65" t="n"/>
      <c r="AJ13" s="65" t="n"/>
      <c r="AK13" s="65" t="n"/>
      <c r="AL13" s="66" t="n"/>
    </row>
    <row r="14">
      <c r="A14" s="11" t="n"/>
      <c r="B14" s="11" t="inlineStr">
        <is>
          <t>Себестоимость</t>
        </is>
      </c>
      <c r="C14" s="76">
        <f>ROUND(C12*'⚙️ ПАРАМЕТРЫ'!$C$20,0)</f>
        <v/>
      </c>
      <c r="D14" s="76">
        <f>ROUND(D12*'⚙️ ПАРАМЕТРЫ'!$C$20,0)</f>
        <v/>
      </c>
      <c r="E14" s="76">
        <f>ROUND(E12*'⚙️ ПАРАМЕТРЫ'!$C$20,0)</f>
        <v/>
      </c>
      <c r="F14" s="76">
        <f>ROUND(F12*'⚙️ ПАРАМЕТРЫ'!$C$20,0)</f>
        <v/>
      </c>
      <c r="G14" s="76">
        <f>ROUND(G12*'⚙️ ПАРАМЕТРЫ'!$C$20,0)</f>
        <v/>
      </c>
      <c r="H14" s="76">
        <f>ROUND(H12*'⚙️ ПАРАМЕТРЫ'!$C$20,0)</f>
        <v/>
      </c>
      <c r="I14" s="76">
        <f>ROUND(I12*'⚙️ ПАРАМЕТРЫ'!$C$20,0)</f>
        <v/>
      </c>
      <c r="J14" s="76">
        <f>ROUND(J12*'⚙️ ПАРАМЕТРЫ'!$C$20,0)</f>
        <v/>
      </c>
      <c r="K14" s="76">
        <f>ROUND(K12*'⚙️ ПАРАМЕТРЫ'!$C$20,0)</f>
        <v/>
      </c>
      <c r="L14" s="76">
        <f>ROUND(L12*'⚙️ ПАРАМЕТРЫ'!$C$20,0)</f>
        <v/>
      </c>
      <c r="M14" s="76">
        <f>ROUND(M12*'⚙️ ПАРАМЕТРЫ'!$C$20,0)</f>
        <v/>
      </c>
      <c r="N14" s="76">
        <f>ROUND(N12*'⚙️ ПАРАМЕТРЫ'!$C$20,0)</f>
        <v/>
      </c>
      <c r="O14" s="76">
        <f>ROUND(O12*'⚙️ ПАРАМЕТРЫ'!$C$20,0)</f>
        <v/>
      </c>
      <c r="P14" s="76">
        <f>ROUND(P12*'⚙️ ПАРАМЕТРЫ'!$C$20,0)</f>
        <v/>
      </c>
      <c r="Q14" s="76">
        <f>ROUND(Q12*'⚙️ ПАРАМЕТРЫ'!$C$20,0)</f>
        <v/>
      </c>
      <c r="R14" s="76">
        <f>ROUND(R12*'⚙️ ПАРАМЕТРЫ'!$C$20,0)</f>
        <v/>
      </c>
      <c r="S14" s="76">
        <f>ROUND(S12*'⚙️ ПАРАМЕТРЫ'!$C$20,0)</f>
        <v/>
      </c>
      <c r="T14" s="76">
        <f>ROUND(T12*'⚙️ ПАРАМЕТРЫ'!$C$20,0)</f>
        <v/>
      </c>
      <c r="U14" s="76">
        <f>ROUND(U12*'⚙️ ПАРАМЕТРЫ'!$C$20,0)</f>
        <v/>
      </c>
      <c r="V14" s="76">
        <f>ROUND(V12*'⚙️ ПАРАМЕТРЫ'!$C$20,0)</f>
        <v/>
      </c>
      <c r="W14" s="76">
        <f>ROUND(W12*'⚙️ ПАРАМЕТРЫ'!$C$20,0)</f>
        <v/>
      </c>
      <c r="X14" s="76">
        <f>ROUND(X12*'⚙️ ПАРАМЕТРЫ'!$C$20,0)</f>
        <v/>
      </c>
      <c r="Y14" s="76">
        <f>ROUND(Y12*'⚙️ ПАРАМЕТРЫ'!$C$20,0)</f>
        <v/>
      </c>
      <c r="Z14" s="76">
        <f>ROUND(Z12*'⚙️ ПАРАМЕТРЫ'!$C$20,0)</f>
        <v/>
      </c>
      <c r="AA14" s="76">
        <f>ROUND(AA12*'⚙️ ПАРАМЕТРЫ'!$C$20,0)</f>
        <v/>
      </c>
      <c r="AB14" s="76">
        <f>ROUND(AB12*'⚙️ ПАРАМЕТРЫ'!$C$20,0)</f>
        <v/>
      </c>
      <c r="AC14" s="76">
        <f>ROUND(AC12*'⚙️ ПАРАМЕТРЫ'!$C$20,0)</f>
        <v/>
      </c>
      <c r="AD14" s="76">
        <f>ROUND(AD12*'⚙️ ПАРАМЕТРЫ'!$C$20,0)</f>
        <v/>
      </c>
      <c r="AE14" s="76">
        <f>ROUND(AE12*'⚙️ ПАРАМЕТРЫ'!$C$20,0)</f>
        <v/>
      </c>
      <c r="AF14" s="76">
        <f>ROUND(AF12*'⚙️ ПАРАМЕТРЫ'!$C$20,0)</f>
        <v/>
      </c>
      <c r="AG14" s="76">
        <f>ROUND(AG12*'⚙️ ПАРАМЕТРЫ'!$C$20,0)</f>
        <v/>
      </c>
      <c r="AH14" s="76">
        <f>ROUND(AH12*'⚙️ ПАРАМЕТРЫ'!$C$20,0)</f>
        <v/>
      </c>
      <c r="AI14" s="76">
        <f>ROUND(AI12*'⚙️ ПАРАМЕТРЫ'!$C$20,0)</f>
        <v/>
      </c>
      <c r="AJ14" s="76">
        <f>ROUND(AJ12*'⚙️ ПАРАМЕТРЫ'!$C$20,0)</f>
        <v/>
      </c>
      <c r="AK14" s="76">
        <f>ROUND(AK12*'⚙️ ПАРАМЕТРЫ'!$C$20,0)</f>
        <v/>
      </c>
      <c r="AL14" s="76">
        <f>ROUND(AL12*'⚙️ ПАРАМЕТРЫ'!$C$20,0)</f>
        <v/>
      </c>
    </row>
    <row r="15">
      <c r="A15" s="11" t="n"/>
      <c r="B15" s="11" t="inlineStr">
        <is>
          <t>Потери/списания</t>
        </is>
      </c>
      <c r="C15" s="76">
        <f>ROUND(C12*'⚙️ ПАРАМЕТРЫ'!$C$21,0)</f>
        <v/>
      </c>
      <c r="D15" s="76">
        <f>ROUND(D12*'⚙️ ПАРАМЕТРЫ'!$C$21,0)</f>
        <v/>
      </c>
      <c r="E15" s="76">
        <f>ROUND(E12*'⚙️ ПАРАМЕТРЫ'!$C$21,0)</f>
        <v/>
      </c>
      <c r="F15" s="76">
        <f>ROUND(F12*'⚙️ ПАРАМЕТРЫ'!$C$21,0)</f>
        <v/>
      </c>
      <c r="G15" s="76">
        <f>ROUND(G12*'⚙️ ПАРАМЕТРЫ'!$C$21,0)</f>
        <v/>
      </c>
      <c r="H15" s="76">
        <f>ROUND(H12*'⚙️ ПАРАМЕТРЫ'!$C$21,0)</f>
        <v/>
      </c>
      <c r="I15" s="76">
        <f>ROUND(I12*'⚙️ ПАРАМЕТРЫ'!$C$21,0)</f>
        <v/>
      </c>
      <c r="J15" s="76">
        <f>ROUND(J12*'⚙️ ПАРАМЕТРЫ'!$C$21,0)</f>
        <v/>
      </c>
      <c r="K15" s="76">
        <f>ROUND(K12*'⚙️ ПАРАМЕТРЫ'!$C$21,0)</f>
        <v/>
      </c>
      <c r="L15" s="76">
        <f>ROUND(L12*'⚙️ ПАРАМЕТРЫ'!$C$21,0)</f>
        <v/>
      </c>
      <c r="M15" s="76">
        <f>ROUND(M12*'⚙️ ПАРАМЕТРЫ'!$C$21,0)</f>
        <v/>
      </c>
      <c r="N15" s="76">
        <f>ROUND(N12*'⚙️ ПАРАМЕТРЫ'!$C$21,0)</f>
        <v/>
      </c>
      <c r="O15" s="76">
        <f>ROUND(O12*'⚙️ ПАРАМЕТРЫ'!$C$21,0)</f>
        <v/>
      </c>
      <c r="P15" s="76">
        <f>ROUND(P12*'⚙️ ПАРАМЕТРЫ'!$C$21,0)</f>
        <v/>
      </c>
      <c r="Q15" s="76">
        <f>ROUND(Q12*'⚙️ ПАРАМЕТРЫ'!$C$21,0)</f>
        <v/>
      </c>
      <c r="R15" s="76">
        <f>ROUND(R12*'⚙️ ПАРАМЕТРЫ'!$C$21,0)</f>
        <v/>
      </c>
      <c r="S15" s="76">
        <f>ROUND(S12*'⚙️ ПАРАМЕТРЫ'!$C$21,0)</f>
        <v/>
      </c>
      <c r="T15" s="76">
        <f>ROUND(T12*'⚙️ ПАРАМЕТРЫ'!$C$21,0)</f>
        <v/>
      </c>
      <c r="U15" s="76">
        <f>ROUND(U12*'⚙️ ПАРАМЕТРЫ'!$C$21,0)</f>
        <v/>
      </c>
      <c r="V15" s="76">
        <f>ROUND(V12*'⚙️ ПАРАМЕТРЫ'!$C$21,0)</f>
        <v/>
      </c>
      <c r="W15" s="76">
        <f>ROUND(W12*'⚙️ ПАРАМЕТРЫ'!$C$21,0)</f>
        <v/>
      </c>
      <c r="X15" s="76">
        <f>ROUND(X12*'⚙️ ПАРАМЕТРЫ'!$C$21,0)</f>
        <v/>
      </c>
      <c r="Y15" s="76">
        <f>ROUND(Y12*'⚙️ ПАРАМЕТРЫ'!$C$21,0)</f>
        <v/>
      </c>
      <c r="Z15" s="76">
        <f>ROUND(Z12*'⚙️ ПАРАМЕТРЫ'!$C$21,0)</f>
        <v/>
      </c>
      <c r="AA15" s="76">
        <f>ROUND(AA12*'⚙️ ПАРАМЕТРЫ'!$C$21,0)</f>
        <v/>
      </c>
      <c r="AB15" s="76">
        <f>ROUND(AB12*'⚙️ ПАРАМЕТРЫ'!$C$21,0)</f>
        <v/>
      </c>
      <c r="AC15" s="76">
        <f>ROUND(AC12*'⚙️ ПАРАМЕТРЫ'!$C$21,0)</f>
        <v/>
      </c>
      <c r="AD15" s="76">
        <f>ROUND(AD12*'⚙️ ПАРАМЕТРЫ'!$C$21,0)</f>
        <v/>
      </c>
      <c r="AE15" s="76">
        <f>ROUND(AE12*'⚙️ ПАРАМЕТРЫ'!$C$21,0)</f>
        <v/>
      </c>
      <c r="AF15" s="76">
        <f>ROUND(AF12*'⚙️ ПАРАМЕТРЫ'!$C$21,0)</f>
        <v/>
      </c>
      <c r="AG15" s="76">
        <f>ROUND(AG12*'⚙️ ПАРАМЕТРЫ'!$C$21,0)</f>
        <v/>
      </c>
      <c r="AH15" s="76">
        <f>ROUND(AH12*'⚙️ ПАРАМЕТРЫ'!$C$21,0)</f>
        <v/>
      </c>
      <c r="AI15" s="76">
        <f>ROUND(AI12*'⚙️ ПАРАМЕТРЫ'!$C$21,0)</f>
        <v/>
      </c>
      <c r="AJ15" s="76">
        <f>ROUND(AJ12*'⚙️ ПАРАМЕТРЫ'!$C$21,0)</f>
        <v/>
      </c>
      <c r="AK15" s="76">
        <f>ROUND(AK12*'⚙️ ПАРАМЕТРЫ'!$C$21,0)</f>
        <v/>
      </c>
      <c r="AL15" s="76">
        <f>ROUND(AL12*'⚙️ ПАРАМЕТРЫ'!$C$21,0)</f>
        <v/>
      </c>
    </row>
    <row r="16">
      <c r="A16" s="13" t="n"/>
      <c r="B16" s="13" t="inlineStr">
        <is>
          <t>ВАЛОВАЯ ПРИБЫЛЬ</t>
        </is>
      </c>
      <c r="C16" s="75">
        <f>C12-C14-C15</f>
        <v/>
      </c>
      <c r="D16" s="75">
        <f>D12-D14-D15</f>
        <v/>
      </c>
      <c r="E16" s="75">
        <f>E12-E14-E15</f>
        <v/>
      </c>
      <c r="F16" s="75">
        <f>F12-F14-F15</f>
        <v/>
      </c>
      <c r="G16" s="75">
        <f>G12-G14-G15</f>
        <v/>
      </c>
      <c r="H16" s="75">
        <f>H12-H14-H15</f>
        <v/>
      </c>
      <c r="I16" s="75">
        <f>I12-I14-I15</f>
        <v/>
      </c>
      <c r="J16" s="75">
        <f>J12-J14-J15</f>
        <v/>
      </c>
      <c r="K16" s="75">
        <f>K12-K14-K15</f>
        <v/>
      </c>
      <c r="L16" s="75">
        <f>L12-L14-L15</f>
        <v/>
      </c>
      <c r="M16" s="75">
        <f>M12-M14-M15</f>
        <v/>
      </c>
      <c r="N16" s="75">
        <f>N12-N14-N15</f>
        <v/>
      </c>
      <c r="O16" s="75">
        <f>O12-O14-O15</f>
        <v/>
      </c>
      <c r="P16" s="75">
        <f>P12-P14-P15</f>
        <v/>
      </c>
      <c r="Q16" s="75">
        <f>Q12-Q14-Q15</f>
        <v/>
      </c>
      <c r="R16" s="75">
        <f>R12-R14-R15</f>
        <v/>
      </c>
      <c r="S16" s="75">
        <f>S12-S14-S15</f>
        <v/>
      </c>
      <c r="T16" s="75">
        <f>T12-T14-T15</f>
        <v/>
      </c>
      <c r="U16" s="75">
        <f>U12-U14-U15</f>
        <v/>
      </c>
      <c r="V16" s="75">
        <f>V12-V14-V15</f>
        <v/>
      </c>
      <c r="W16" s="75">
        <f>W12-W14-W15</f>
        <v/>
      </c>
      <c r="X16" s="75">
        <f>X12-X14-X15</f>
        <v/>
      </c>
      <c r="Y16" s="75">
        <f>Y12-Y14-Y15</f>
        <v/>
      </c>
      <c r="Z16" s="75">
        <f>Z12-Z14-Z15</f>
        <v/>
      </c>
      <c r="AA16" s="75">
        <f>AA12-AA14-AA15</f>
        <v/>
      </c>
      <c r="AB16" s="75">
        <f>AB12-AB14-AB15</f>
        <v/>
      </c>
      <c r="AC16" s="75">
        <f>AC12-AC14-AC15</f>
        <v/>
      </c>
      <c r="AD16" s="75">
        <f>AD12-AD14-AD15</f>
        <v/>
      </c>
      <c r="AE16" s="75">
        <f>AE12-AE14-AE15</f>
        <v/>
      </c>
      <c r="AF16" s="75">
        <f>AF12-AF14-AF15</f>
        <v/>
      </c>
      <c r="AG16" s="75">
        <f>AG12-AG14-AG15</f>
        <v/>
      </c>
      <c r="AH16" s="75">
        <f>AH12-AH14-AH15</f>
        <v/>
      </c>
      <c r="AI16" s="75">
        <f>AI12-AI14-AI15</f>
        <v/>
      </c>
      <c r="AJ16" s="75">
        <f>AJ12-AJ14-AJ15</f>
        <v/>
      </c>
      <c r="AK16" s="75">
        <f>AK12-AK14-AK15</f>
        <v/>
      </c>
      <c r="AL16" s="75">
        <f>AL12-AL14-AL15</f>
        <v/>
      </c>
    </row>
    <row r="17">
      <c r="A17" s="9" t="n"/>
      <c r="B17" s="9" t="inlineStr">
        <is>
          <t>ПОСТОЯННЫЕ РАСХОДЫ</t>
        </is>
      </c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5" t="n"/>
      <c r="AI17" s="65" t="n"/>
      <c r="AJ17" s="65" t="n"/>
      <c r="AK17" s="65" t="n"/>
      <c r="AL17" s="66" t="n"/>
    </row>
    <row r="18">
      <c r="A18" s="11" t="n"/>
      <c r="B18" s="11" t="inlineStr">
        <is>
          <t>ФОТ (с налогами)</t>
        </is>
      </c>
      <c r="C18" s="76">
        <f>ROUND('⚙️ ПАРАМЕТРЫ'!$C$44*(1+'⚙️ ПАРАМЕТРЫ'!$C$34)^INT((1-1)/12),0)</f>
        <v/>
      </c>
      <c r="D18" s="76">
        <f>ROUND('⚙️ ПАРАМЕТРЫ'!$C$44*(1+'⚙️ ПАРАМЕТРЫ'!$C$34)^INT((2-1)/12),0)</f>
        <v/>
      </c>
      <c r="E18" s="76">
        <f>ROUND('⚙️ ПАРАМЕТРЫ'!$C$44*(1+'⚙️ ПАРАМЕТРЫ'!$C$34)^INT((3-1)/12),0)</f>
        <v/>
      </c>
      <c r="F18" s="76">
        <f>ROUND('⚙️ ПАРАМЕТРЫ'!$C$44*(1+'⚙️ ПАРАМЕТРЫ'!$C$34)^INT((4-1)/12),0)</f>
        <v/>
      </c>
      <c r="G18" s="76">
        <f>ROUND('⚙️ ПАРАМЕТРЫ'!$C$44*(1+'⚙️ ПАРАМЕТРЫ'!$C$34)^INT((5-1)/12),0)</f>
        <v/>
      </c>
      <c r="H18" s="76">
        <f>ROUND('⚙️ ПАРАМЕТРЫ'!$C$44*(1+'⚙️ ПАРАМЕТРЫ'!$C$34)^INT((6-1)/12),0)</f>
        <v/>
      </c>
      <c r="I18" s="76">
        <f>ROUND('⚙️ ПАРАМЕТРЫ'!$C$44*(1+'⚙️ ПАРАМЕТРЫ'!$C$34)^INT((7-1)/12),0)</f>
        <v/>
      </c>
      <c r="J18" s="76">
        <f>ROUND('⚙️ ПАРАМЕТРЫ'!$C$44*(1+'⚙️ ПАРАМЕТРЫ'!$C$34)^INT((8-1)/12),0)</f>
        <v/>
      </c>
      <c r="K18" s="76">
        <f>ROUND('⚙️ ПАРАМЕТРЫ'!$C$44*(1+'⚙️ ПАРАМЕТРЫ'!$C$34)^INT((9-1)/12),0)</f>
        <v/>
      </c>
      <c r="L18" s="76">
        <f>ROUND('⚙️ ПАРАМЕТРЫ'!$C$44*(1+'⚙️ ПАРАМЕТРЫ'!$C$34)^INT((10-1)/12),0)</f>
        <v/>
      </c>
      <c r="M18" s="76">
        <f>ROUND('⚙️ ПАРАМЕТРЫ'!$C$44*(1+'⚙️ ПАРАМЕТРЫ'!$C$34)^INT((11-1)/12),0)</f>
        <v/>
      </c>
      <c r="N18" s="76">
        <f>ROUND('⚙️ ПАРАМЕТРЫ'!$C$44*(1+'⚙️ ПАРАМЕТРЫ'!$C$34)^INT((12-1)/12),0)</f>
        <v/>
      </c>
      <c r="O18" s="76">
        <f>ROUND('⚙️ ПАРАМЕТРЫ'!$C$44*(1+'⚙️ ПАРАМЕТРЫ'!$C$34)^INT((13-1)/12),0)</f>
        <v/>
      </c>
      <c r="P18" s="76">
        <f>ROUND('⚙️ ПАРАМЕТРЫ'!$C$44*(1+'⚙️ ПАРАМЕТРЫ'!$C$34)^INT((14-1)/12),0)</f>
        <v/>
      </c>
      <c r="Q18" s="76">
        <f>ROUND('⚙️ ПАРАМЕТРЫ'!$C$44*(1+'⚙️ ПАРАМЕТРЫ'!$C$34)^INT((15-1)/12),0)</f>
        <v/>
      </c>
      <c r="R18" s="76">
        <f>ROUND('⚙️ ПАРАМЕТРЫ'!$C$44*(1+'⚙️ ПАРАМЕТРЫ'!$C$34)^INT((16-1)/12),0)</f>
        <v/>
      </c>
      <c r="S18" s="76">
        <f>ROUND('⚙️ ПАРАМЕТРЫ'!$C$44*(1+'⚙️ ПАРАМЕТРЫ'!$C$34)^INT((17-1)/12),0)</f>
        <v/>
      </c>
      <c r="T18" s="76">
        <f>ROUND('⚙️ ПАРАМЕТРЫ'!$C$44*(1+'⚙️ ПАРАМЕТРЫ'!$C$34)^INT((18-1)/12),0)</f>
        <v/>
      </c>
      <c r="U18" s="76">
        <f>ROUND('⚙️ ПАРАМЕТРЫ'!$C$44*(1+'⚙️ ПАРАМЕТРЫ'!$C$34)^INT((19-1)/12),0)</f>
        <v/>
      </c>
      <c r="V18" s="76">
        <f>ROUND('⚙️ ПАРАМЕТРЫ'!$C$44*(1+'⚙️ ПАРАМЕТРЫ'!$C$34)^INT((20-1)/12),0)</f>
        <v/>
      </c>
      <c r="W18" s="76">
        <f>ROUND('⚙️ ПАРАМЕТРЫ'!$C$44*(1+'⚙️ ПАРАМЕТРЫ'!$C$34)^INT((21-1)/12),0)</f>
        <v/>
      </c>
      <c r="X18" s="76">
        <f>ROUND('⚙️ ПАРАМЕТРЫ'!$C$44*(1+'⚙️ ПАРАМЕТРЫ'!$C$34)^INT((22-1)/12),0)</f>
        <v/>
      </c>
      <c r="Y18" s="76">
        <f>ROUND('⚙️ ПАРАМЕТРЫ'!$C$44*(1+'⚙️ ПАРАМЕТРЫ'!$C$34)^INT((23-1)/12),0)</f>
        <v/>
      </c>
      <c r="Z18" s="76">
        <f>ROUND('⚙️ ПАРАМЕТРЫ'!$C$44*(1+'⚙️ ПАРАМЕТРЫ'!$C$34)^INT((24-1)/12),0)</f>
        <v/>
      </c>
      <c r="AA18" s="76">
        <f>ROUND('⚙️ ПАРАМЕТРЫ'!$C$44*(1+'⚙️ ПАРАМЕТРЫ'!$C$34)^INT((25-1)/12),0)</f>
        <v/>
      </c>
      <c r="AB18" s="76">
        <f>ROUND('⚙️ ПАРАМЕТРЫ'!$C$44*(1+'⚙️ ПАРАМЕТРЫ'!$C$34)^INT((26-1)/12),0)</f>
        <v/>
      </c>
      <c r="AC18" s="76">
        <f>ROUND('⚙️ ПАРАМЕТРЫ'!$C$44*(1+'⚙️ ПАРАМЕТРЫ'!$C$34)^INT((27-1)/12),0)</f>
        <v/>
      </c>
      <c r="AD18" s="76">
        <f>ROUND('⚙️ ПАРАМЕТРЫ'!$C$44*(1+'⚙️ ПАРАМЕТРЫ'!$C$34)^INT((28-1)/12),0)</f>
        <v/>
      </c>
      <c r="AE18" s="76">
        <f>ROUND('⚙️ ПАРАМЕТРЫ'!$C$44*(1+'⚙️ ПАРАМЕТРЫ'!$C$34)^INT((29-1)/12),0)</f>
        <v/>
      </c>
      <c r="AF18" s="76">
        <f>ROUND('⚙️ ПАРАМЕТРЫ'!$C$44*(1+'⚙️ ПАРАМЕТРЫ'!$C$34)^INT((30-1)/12),0)</f>
        <v/>
      </c>
      <c r="AG18" s="76">
        <f>ROUND('⚙️ ПАРАМЕТРЫ'!$C$44*(1+'⚙️ ПАРАМЕТРЫ'!$C$34)^INT((31-1)/12),0)</f>
        <v/>
      </c>
      <c r="AH18" s="76">
        <f>ROUND('⚙️ ПАРАМЕТРЫ'!$C$44*(1+'⚙️ ПАРАМЕТРЫ'!$C$34)^INT((32-1)/12),0)</f>
        <v/>
      </c>
      <c r="AI18" s="76">
        <f>ROUND('⚙️ ПАРАМЕТРЫ'!$C$44*(1+'⚙️ ПАРАМЕТРЫ'!$C$34)^INT((33-1)/12),0)</f>
        <v/>
      </c>
      <c r="AJ18" s="76">
        <f>ROUND('⚙️ ПАРАМЕТРЫ'!$C$44*(1+'⚙️ ПАРАМЕТРЫ'!$C$34)^INT((34-1)/12),0)</f>
        <v/>
      </c>
      <c r="AK18" s="76">
        <f>ROUND('⚙️ ПАРАМЕТРЫ'!$C$44*(1+'⚙️ ПАРАМЕТРЫ'!$C$34)^INT((35-1)/12),0)</f>
        <v/>
      </c>
      <c r="AL18" s="76">
        <f>ROUND('⚙️ ПАРАМЕТРЫ'!$C$44*(1+'⚙️ ПАРАМЕТРЫ'!$C$34)^INT((36-1)/12),0)</f>
        <v/>
      </c>
    </row>
    <row r="19">
      <c r="A19" s="11" t="n"/>
      <c r="B19" s="11" t="inlineStr">
        <is>
          <t>Аренда</t>
        </is>
      </c>
      <c r="C19" s="76">
        <f>ROUND('⚙️ ПАРАМЕТРЫ'!$C$24*(1+'⚙️ ПАРАМЕТРЫ'!$C$33)^INT((1-1)/12),0)</f>
        <v/>
      </c>
      <c r="D19" s="76">
        <f>ROUND('⚙️ ПАРАМЕТРЫ'!$C$24*(1+'⚙️ ПАРАМЕТРЫ'!$C$33)^INT((2-1)/12),0)</f>
        <v/>
      </c>
      <c r="E19" s="76">
        <f>ROUND('⚙️ ПАРАМЕТРЫ'!$C$24*(1+'⚙️ ПАРАМЕТРЫ'!$C$33)^INT((3-1)/12),0)</f>
        <v/>
      </c>
      <c r="F19" s="76">
        <f>ROUND('⚙️ ПАРАМЕТРЫ'!$C$24*(1+'⚙️ ПАРАМЕТРЫ'!$C$33)^INT((4-1)/12),0)</f>
        <v/>
      </c>
      <c r="G19" s="76">
        <f>ROUND('⚙️ ПАРАМЕТРЫ'!$C$24*(1+'⚙️ ПАРАМЕТРЫ'!$C$33)^INT((5-1)/12),0)</f>
        <v/>
      </c>
      <c r="H19" s="76">
        <f>ROUND('⚙️ ПАРАМЕТРЫ'!$C$24*(1+'⚙️ ПАРАМЕТРЫ'!$C$33)^INT((6-1)/12),0)</f>
        <v/>
      </c>
      <c r="I19" s="76">
        <f>ROUND('⚙️ ПАРАМЕТРЫ'!$C$24*(1+'⚙️ ПАРАМЕТРЫ'!$C$33)^INT((7-1)/12),0)</f>
        <v/>
      </c>
      <c r="J19" s="76">
        <f>ROUND('⚙️ ПАРАМЕТРЫ'!$C$24*(1+'⚙️ ПАРАМЕТРЫ'!$C$33)^INT((8-1)/12),0)</f>
        <v/>
      </c>
      <c r="K19" s="76">
        <f>ROUND('⚙️ ПАРАМЕТРЫ'!$C$24*(1+'⚙️ ПАРАМЕТРЫ'!$C$33)^INT((9-1)/12),0)</f>
        <v/>
      </c>
      <c r="L19" s="76">
        <f>ROUND('⚙️ ПАРАМЕТРЫ'!$C$24*(1+'⚙️ ПАРАМЕТРЫ'!$C$33)^INT((10-1)/12),0)</f>
        <v/>
      </c>
      <c r="M19" s="76">
        <f>ROUND('⚙️ ПАРАМЕТРЫ'!$C$24*(1+'⚙️ ПАРАМЕТРЫ'!$C$33)^INT((11-1)/12),0)</f>
        <v/>
      </c>
      <c r="N19" s="76">
        <f>ROUND('⚙️ ПАРАМЕТРЫ'!$C$24*(1+'⚙️ ПАРАМЕТРЫ'!$C$33)^INT((12-1)/12),0)</f>
        <v/>
      </c>
      <c r="O19" s="76">
        <f>ROUND('⚙️ ПАРАМЕТРЫ'!$C$24*(1+'⚙️ ПАРАМЕТРЫ'!$C$33)^INT((13-1)/12),0)</f>
        <v/>
      </c>
      <c r="P19" s="76">
        <f>ROUND('⚙️ ПАРАМЕТРЫ'!$C$24*(1+'⚙️ ПАРАМЕТРЫ'!$C$33)^INT((14-1)/12),0)</f>
        <v/>
      </c>
      <c r="Q19" s="76">
        <f>ROUND('⚙️ ПАРАМЕТРЫ'!$C$24*(1+'⚙️ ПАРАМЕТРЫ'!$C$33)^INT((15-1)/12),0)</f>
        <v/>
      </c>
      <c r="R19" s="76">
        <f>ROUND('⚙️ ПАРАМЕТРЫ'!$C$24*(1+'⚙️ ПАРАМЕТРЫ'!$C$33)^INT((16-1)/12),0)</f>
        <v/>
      </c>
      <c r="S19" s="76">
        <f>ROUND('⚙️ ПАРАМЕТРЫ'!$C$24*(1+'⚙️ ПАРАМЕТРЫ'!$C$33)^INT((17-1)/12),0)</f>
        <v/>
      </c>
      <c r="T19" s="76">
        <f>ROUND('⚙️ ПАРАМЕТРЫ'!$C$24*(1+'⚙️ ПАРАМЕТРЫ'!$C$33)^INT((18-1)/12),0)</f>
        <v/>
      </c>
      <c r="U19" s="76">
        <f>ROUND('⚙️ ПАРАМЕТРЫ'!$C$24*(1+'⚙️ ПАРАМЕТРЫ'!$C$33)^INT((19-1)/12),0)</f>
        <v/>
      </c>
      <c r="V19" s="76">
        <f>ROUND('⚙️ ПАРАМЕТРЫ'!$C$24*(1+'⚙️ ПАРАМЕТРЫ'!$C$33)^INT((20-1)/12),0)</f>
        <v/>
      </c>
      <c r="W19" s="76">
        <f>ROUND('⚙️ ПАРАМЕТРЫ'!$C$24*(1+'⚙️ ПАРАМЕТРЫ'!$C$33)^INT((21-1)/12),0)</f>
        <v/>
      </c>
      <c r="X19" s="76">
        <f>ROUND('⚙️ ПАРАМЕТРЫ'!$C$24*(1+'⚙️ ПАРАМЕТРЫ'!$C$33)^INT((22-1)/12),0)</f>
        <v/>
      </c>
      <c r="Y19" s="76">
        <f>ROUND('⚙️ ПАРАМЕТРЫ'!$C$24*(1+'⚙️ ПАРАМЕТРЫ'!$C$33)^INT((23-1)/12),0)</f>
        <v/>
      </c>
      <c r="Z19" s="76">
        <f>ROUND('⚙️ ПАРАМЕТРЫ'!$C$24*(1+'⚙️ ПАРАМЕТРЫ'!$C$33)^INT((24-1)/12),0)</f>
        <v/>
      </c>
      <c r="AA19" s="76">
        <f>ROUND('⚙️ ПАРАМЕТРЫ'!$C$24*(1+'⚙️ ПАРАМЕТРЫ'!$C$33)^INT((25-1)/12),0)</f>
        <v/>
      </c>
      <c r="AB19" s="76">
        <f>ROUND('⚙️ ПАРАМЕТРЫ'!$C$24*(1+'⚙️ ПАРАМЕТРЫ'!$C$33)^INT((26-1)/12),0)</f>
        <v/>
      </c>
      <c r="AC19" s="76">
        <f>ROUND('⚙️ ПАРАМЕТРЫ'!$C$24*(1+'⚙️ ПАРАМЕТРЫ'!$C$33)^INT((27-1)/12),0)</f>
        <v/>
      </c>
      <c r="AD19" s="76">
        <f>ROUND('⚙️ ПАРАМЕТРЫ'!$C$24*(1+'⚙️ ПАРАМЕТРЫ'!$C$33)^INT((28-1)/12),0)</f>
        <v/>
      </c>
      <c r="AE19" s="76">
        <f>ROUND('⚙️ ПАРАМЕТРЫ'!$C$24*(1+'⚙️ ПАРАМЕТРЫ'!$C$33)^INT((29-1)/12),0)</f>
        <v/>
      </c>
      <c r="AF19" s="76">
        <f>ROUND('⚙️ ПАРАМЕТРЫ'!$C$24*(1+'⚙️ ПАРАМЕТРЫ'!$C$33)^INT((30-1)/12),0)</f>
        <v/>
      </c>
      <c r="AG19" s="76">
        <f>ROUND('⚙️ ПАРАМЕТРЫ'!$C$24*(1+'⚙️ ПАРАМЕТРЫ'!$C$33)^INT((31-1)/12),0)</f>
        <v/>
      </c>
      <c r="AH19" s="76">
        <f>ROUND('⚙️ ПАРАМЕТРЫ'!$C$24*(1+'⚙️ ПАРАМЕТРЫ'!$C$33)^INT((32-1)/12),0)</f>
        <v/>
      </c>
      <c r="AI19" s="76">
        <f>ROUND('⚙️ ПАРАМЕТРЫ'!$C$24*(1+'⚙️ ПАРАМЕТРЫ'!$C$33)^INT((33-1)/12),0)</f>
        <v/>
      </c>
      <c r="AJ19" s="76">
        <f>ROUND('⚙️ ПАРАМЕТРЫ'!$C$24*(1+'⚙️ ПАРАМЕТРЫ'!$C$33)^INT((34-1)/12),0)</f>
        <v/>
      </c>
      <c r="AK19" s="76">
        <f>ROUND('⚙️ ПАРАМЕТРЫ'!$C$24*(1+'⚙️ ПАРАМЕТРЫ'!$C$33)^INT((35-1)/12),0)</f>
        <v/>
      </c>
      <c r="AL19" s="76">
        <f>ROUND('⚙️ ПАРАМЕТРЫ'!$C$24*(1+'⚙️ ПАРАМЕТРЫ'!$C$33)^INT((36-1)/12),0)</f>
        <v/>
      </c>
    </row>
    <row r="20">
      <c r="A20" s="11" t="n"/>
      <c r="B20" s="11" t="inlineStr">
        <is>
          <t>Коммунальные</t>
        </is>
      </c>
      <c r="C20" s="76">
        <f>ROUND('⚙️ ПАРАМЕТРЫ'!$C$28*(1+'⚙️ ПАРАМЕТРЫ'!$C$35)^INT((1-1)/12),0)</f>
        <v/>
      </c>
      <c r="D20" s="76">
        <f>ROUND('⚙️ ПАРАМЕТРЫ'!$C$28*(1+'⚙️ ПАРАМЕТРЫ'!$C$35)^INT((2-1)/12),0)</f>
        <v/>
      </c>
      <c r="E20" s="76">
        <f>ROUND('⚙️ ПАРАМЕТРЫ'!$C$28*(1+'⚙️ ПАРАМЕТРЫ'!$C$35)^INT((3-1)/12),0)</f>
        <v/>
      </c>
      <c r="F20" s="76">
        <f>ROUND('⚙️ ПАРАМЕТРЫ'!$C$28*(1+'⚙️ ПАРАМЕТРЫ'!$C$35)^INT((4-1)/12),0)</f>
        <v/>
      </c>
      <c r="G20" s="76">
        <f>ROUND('⚙️ ПАРАМЕТРЫ'!$C$28*(1+'⚙️ ПАРАМЕТРЫ'!$C$35)^INT((5-1)/12),0)</f>
        <v/>
      </c>
      <c r="H20" s="76">
        <f>ROUND('⚙️ ПАРАМЕТРЫ'!$C$28*(1+'⚙️ ПАРАМЕТРЫ'!$C$35)^INT((6-1)/12),0)</f>
        <v/>
      </c>
      <c r="I20" s="76">
        <f>ROUND('⚙️ ПАРАМЕТРЫ'!$C$28*(1+'⚙️ ПАРАМЕТРЫ'!$C$35)^INT((7-1)/12),0)</f>
        <v/>
      </c>
      <c r="J20" s="76">
        <f>ROUND('⚙️ ПАРАМЕТРЫ'!$C$28*(1+'⚙️ ПАРАМЕТРЫ'!$C$35)^INT((8-1)/12),0)</f>
        <v/>
      </c>
      <c r="K20" s="76">
        <f>ROUND('⚙️ ПАРАМЕТРЫ'!$C$28*(1+'⚙️ ПАРАМЕТРЫ'!$C$35)^INT((9-1)/12),0)</f>
        <v/>
      </c>
      <c r="L20" s="76">
        <f>ROUND('⚙️ ПАРАМЕТРЫ'!$C$28*(1+'⚙️ ПАРАМЕТРЫ'!$C$35)^INT((10-1)/12),0)</f>
        <v/>
      </c>
      <c r="M20" s="76">
        <f>ROUND('⚙️ ПАРАМЕТРЫ'!$C$28*(1+'⚙️ ПАРАМЕТРЫ'!$C$35)^INT((11-1)/12),0)</f>
        <v/>
      </c>
      <c r="N20" s="76">
        <f>ROUND('⚙️ ПАРАМЕТРЫ'!$C$28*(1+'⚙️ ПАРАМЕТРЫ'!$C$35)^INT((12-1)/12),0)</f>
        <v/>
      </c>
      <c r="O20" s="76">
        <f>ROUND('⚙️ ПАРАМЕТРЫ'!$C$28*(1+'⚙️ ПАРАМЕТРЫ'!$C$35)^INT((13-1)/12),0)</f>
        <v/>
      </c>
      <c r="P20" s="76">
        <f>ROUND('⚙️ ПАРАМЕТРЫ'!$C$28*(1+'⚙️ ПАРАМЕТРЫ'!$C$35)^INT((14-1)/12),0)</f>
        <v/>
      </c>
      <c r="Q20" s="76">
        <f>ROUND('⚙️ ПАРАМЕТРЫ'!$C$28*(1+'⚙️ ПАРАМЕТРЫ'!$C$35)^INT((15-1)/12),0)</f>
        <v/>
      </c>
      <c r="R20" s="76">
        <f>ROUND('⚙️ ПАРАМЕТРЫ'!$C$28*(1+'⚙️ ПАРАМЕТРЫ'!$C$35)^INT((16-1)/12),0)</f>
        <v/>
      </c>
      <c r="S20" s="76">
        <f>ROUND('⚙️ ПАРАМЕТРЫ'!$C$28*(1+'⚙️ ПАРАМЕТРЫ'!$C$35)^INT((17-1)/12),0)</f>
        <v/>
      </c>
      <c r="T20" s="76">
        <f>ROUND('⚙️ ПАРАМЕТРЫ'!$C$28*(1+'⚙️ ПАРАМЕТРЫ'!$C$35)^INT((18-1)/12),0)</f>
        <v/>
      </c>
      <c r="U20" s="76">
        <f>ROUND('⚙️ ПАРАМЕТРЫ'!$C$28*(1+'⚙️ ПАРАМЕТРЫ'!$C$35)^INT((19-1)/12),0)</f>
        <v/>
      </c>
      <c r="V20" s="76">
        <f>ROUND('⚙️ ПАРАМЕТРЫ'!$C$28*(1+'⚙️ ПАРАМЕТРЫ'!$C$35)^INT((20-1)/12),0)</f>
        <v/>
      </c>
      <c r="W20" s="76">
        <f>ROUND('⚙️ ПАРАМЕТРЫ'!$C$28*(1+'⚙️ ПАРАМЕТРЫ'!$C$35)^INT((21-1)/12),0)</f>
        <v/>
      </c>
      <c r="X20" s="76">
        <f>ROUND('⚙️ ПАРАМЕТРЫ'!$C$28*(1+'⚙️ ПАРАМЕТРЫ'!$C$35)^INT((22-1)/12),0)</f>
        <v/>
      </c>
      <c r="Y20" s="76">
        <f>ROUND('⚙️ ПАРАМЕТРЫ'!$C$28*(1+'⚙️ ПАРАМЕТРЫ'!$C$35)^INT((23-1)/12),0)</f>
        <v/>
      </c>
      <c r="Z20" s="76">
        <f>ROUND('⚙️ ПАРАМЕТРЫ'!$C$28*(1+'⚙️ ПАРАМЕТРЫ'!$C$35)^INT((24-1)/12),0)</f>
        <v/>
      </c>
      <c r="AA20" s="76">
        <f>ROUND('⚙️ ПАРАМЕТРЫ'!$C$28*(1+'⚙️ ПАРАМЕТРЫ'!$C$35)^INT((25-1)/12),0)</f>
        <v/>
      </c>
      <c r="AB20" s="76">
        <f>ROUND('⚙️ ПАРАМЕТРЫ'!$C$28*(1+'⚙️ ПАРАМЕТРЫ'!$C$35)^INT((26-1)/12),0)</f>
        <v/>
      </c>
      <c r="AC20" s="76">
        <f>ROUND('⚙️ ПАРАМЕТРЫ'!$C$28*(1+'⚙️ ПАРАМЕТРЫ'!$C$35)^INT((27-1)/12),0)</f>
        <v/>
      </c>
      <c r="AD20" s="76">
        <f>ROUND('⚙️ ПАРАМЕТРЫ'!$C$28*(1+'⚙️ ПАРАМЕТРЫ'!$C$35)^INT((28-1)/12),0)</f>
        <v/>
      </c>
      <c r="AE20" s="76">
        <f>ROUND('⚙️ ПАРАМЕТРЫ'!$C$28*(1+'⚙️ ПАРАМЕТРЫ'!$C$35)^INT((29-1)/12),0)</f>
        <v/>
      </c>
      <c r="AF20" s="76">
        <f>ROUND('⚙️ ПАРАМЕТРЫ'!$C$28*(1+'⚙️ ПАРАМЕТРЫ'!$C$35)^INT((30-1)/12),0)</f>
        <v/>
      </c>
      <c r="AG20" s="76">
        <f>ROUND('⚙️ ПАРАМЕТРЫ'!$C$28*(1+'⚙️ ПАРАМЕТРЫ'!$C$35)^INT((31-1)/12),0)</f>
        <v/>
      </c>
      <c r="AH20" s="76">
        <f>ROUND('⚙️ ПАРАМЕТРЫ'!$C$28*(1+'⚙️ ПАРАМЕТРЫ'!$C$35)^INT((32-1)/12),0)</f>
        <v/>
      </c>
      <c r="AI20" s="76">
        <f>ROUND('⚙️ ПАРАМЕТРЫ'!$C$28*(1+'⚙️ ПАРАМЕТРЫ'!$C$35)^INT((33-1)/12),0)</f>
        <v/>
      </c>
      <c r="AJ20" s="76">
        <f>ROUND('⚙️ ПАРАМЕТРЫ'!$C$28*(1+'⚙️ ПАРАМЕТРЫ'!$C$35)^INT((34-1)/12),0)</f>
        <v/>
      </c>
      <c r="AK20" s="76">
        <f>ROUND('⚙️ ПАРАМЕТРЫ'!$C$28*(1+'⚙️ ПАРАМЕТРЫ'!$C$35)^INT((35-1)/12),0)</f>
        <v/>
      </c>
      <c r="AL20" s="76">
        <f>ROUND('⚙️ ПАРАМЕТРЫ'!$C$28*(1+'⚙️ ПАРАМЕТРЫ'!$C$35)^INT((36-1)/12),0)</f>
        <v/>
      </c>
    </row>
    <row r="21">
      <c r="A21" s="11" t="n"/>
      <c r="B21" s="11" t="inlineStr">
        <is>
          <t>Маркетинг</t>
        </is>
      </c>
      <c r="C21" s="76">
        <f>ROUND('⚙️ ПАРАМЕТРЫ'!$C$29*(1+'⚙️ ПАРАМЕТРЫ'!$C$35)^INT((1-1)/12),0)</f>
        <v/>
      </c>
      <c r="D21" s="76">
        <f>ROUND('⚙️ ПАРАМЕТРЫ'!$C$29*(1+'⚙️ ПАРАМЕТРЫ'!$C$35)^INT((2-1)/12),0)</f>
        <v/>
      </c>
      <c r="E21" s="76">
        <f>ROUND('⚙️ ПАРАМЕТРЫ'!$C$29*(1+'⚙️ ПАРАМЕТРЫ'!$C$35)^INT((3-1)/12),0)</f>
        <v/>
      </c>
      <c r="F21" s="76">
        <f>ROUND('⚙️ ПАРАМЕТРЫ'!$C$29*(1+'⚙️ ПАРАМЕТРЫ'!$C$35)^INT((4-1)/12),0)</f>
        <v/>
      </c>
      <c r="G21" s="76">
        <f>ROUND('⚙️ ПАРАМЕТРЫ'!$C$29*(1+'⚙️ ПАРАМЕТРЫ'!$C$35)^INT((5-1)/12),0)</f>
        <v/>
      </c>
      <c r="H21" s="76">
        <f>ROUND('⚙️ ПАРАМЕТРЫ'!$C$29*(1+'⚙️ ПАРАМЕТРЫ'!$C$35)^INT((6-1)/12),0)</f>
        <v/>
      </c>
      <c r="I21" s="76">
        <f>ROUND('⚙️ ПАРАМЕТРЫ'!$C$29*(1+'⚙️ ПАРАМЕТРЫ'!$C$35)^INT((7-1)/12),0)</f>
        <v/>
      </c>
      <c r="J21" s="76">
        <f>ROUND('⚙️ ПАРАМЕТРЫ'!$C$29*(1+'⚙️ ПАРАМЕТРЫ'!$C$35)^INT((8-1)/12),0)</f>
        <v/>
      </c>
      <c r="K21" s="76">
        <f>ROUND('⚙️ ПАРАМЕТРЫ'!$C$29*(1+'⚙️ ПАРАМЕТРЫ'!$C$35)^INT((9-1)/12),0)</f>
        <v/>
      </c>
      <c r="L21" s="76">
        <f>ROUND('⚙️ ПАРАМЕТРЫ'!$C$29*(1+'⚙️ ПАРАМЕТРЫ'!$C$35)^INT((10-1)/12),0)</f>
        <v/>
      </c>
      <c r="M21" s="76">
        <f>ROUND('⚙️ ПАРАМЕТРЫ'!$C$29*(1+'⚙️ ПАРАМЕТРЫ'!$C$35)^INT((11-1)/12),0)</f>
        <v/>
      </c>
      <c r="N21" s="76">
        <f>ROUND('⚙️ ПАРАМЕТРЫ'!$C$29*(1+'⚙️ ПАРАМЕТРЫ'!$C$35)^INT((12-1)/12),0)</f>
        <v/>
      </c>
      <c r="O21" s="76">
        <f>ROUND('⚙️ ПАРАМЕТРЫ'!$C$29*(1+'⚙️ ПАРАМЕТРЫ'!$C$35)^INT((13-1)/12),0)</f>
        <v/>
      </c>
      <c r="P21" s="76">
        <f>ROUND('⚙️ ПАРАМЕТРЫ'!$C$29*(1+'⚙️ ПАРАМЕТРЫ'!$C$35)^INT((14-1)/12),0)</f>
        <v/>
      </c>
      <c r="Q21" s="76">
        <f>ROUND('⚙️ ПАРАМЕТРЫ'!$C$29*(1+'⚙️ ПАРАМЕТРЫ'!$C$35)^INT((15-1)/12),0)</f>
        <v/>
      </c>
      <c r="R21" s="76">
        <f>ROUND('⚙️ ПАРАМЕТРЫ'!$C$29*(1+'⚙️ ПАРАМЕТРЫ'!$C$35)^INT((16-1)/12),0)</f>
        <v/>
      </c>
      <c r="S21" s="76">
        <f>ROUND('⚙️ ПАРАМЕТРЫ'!$C$29*(1+'⚙️ ПАРАМЕТРЫ'!$C$35)^INT((17-1)/12),0)</f>
        <v/>
      </c>
      <c r="T21" s="76">
        <f>ROUND('⚙️ ПАРАМЕТРЫ'!$C$29*(1+'⚙️ ПАРАМЕТРЫ'!$C$35)^INT((18-1)/12),0)</f>
        <v/>
      </c>
      <c r="U21" s="76">
        <f>ROUND('⚙️ ПАРАМЕТРЫ'!$C$29*(1+'⚙️ ПАРАМЕТРЫ'!$C$35)^INT((19-1)/12),0)</f>
        <v/>
      </c>
      <c r="V21" s="76">
        <f>ROUND('⚙️ ПАРАМЕТРЫ'!$C$29*(1+'⚙️ ПАРАМЕТРЫ'!$C$35)^INT((20-1)/12),0)</f>
        <v/>
      </c>
      <c r="W21" s="76">
        <f>ROUND('⚙️ ПАРАМЕТРЫ'!$C$29*(1+'⚙️ ПАРАМЕТРЫ'!$C$35)^INT((21-1)/12),0)</f>
        <v/>
      </c>
      <c r="X21" s="76">
        <f>ROUND('⚙️ ПАРАМЕТРЫ'!$C$29*(1+'⚙️ ПАРАМЕТРЫ'!$C$35)^INT((22-1)/12),0)</f>
        <v/>
      </c>
      <c r="Y21" s="76">
        <f>ROUND('⚙️ ПАРАМЕТРЫ'!$C$29*(1+'⚙️ ПАРАМЕТРЫ'!$C$35)^INT((23-1)/12),0)</f>
        <v/>
      </c>
      <c r="Z21" s="76">
        <f>ROUND('⚙️ ПАРАМЕТРЫ'!$C$29*(1+'⚙️ ПАРАМЕТРЫ'!$C$35)^INT((24-1)/12),0)</f>
        <v/>
      </c>
      <c r="AA21" s="76">
        <f>ROUND('⚙️ ПАРАМЕТРЫ'!$C$29*(1+'⚙️ ПАРАМЕТРЫ'!$C$35)^INT((25-1)/12),0)</f>
        <v/>
      </c>
      <c r="AB21" s="76">
        <f>ROUND('⚙️ ПАРАМЕТРЫ'!$C$29*(1+'⚙️ ПАРАМЕТРЫ'!$C$35)^INT((26-1)/12),0)</f>
        <v/>
      </c>
      <c r="AC21" s="76">
        <f>ROUND('⚙️ ПАРАМЕТРЫ'!$C$29*(1+'⚙️ ПАРАМЕТРЫ'!$C$35)^INT((27-1)/12),0)</f>
        <v/>
      </c>
      <c r="AD21" s="76">
        <f>ROUND('⚙️ ПАРАМЕТРЫ'!$C$29*(1+'⚙️ ПАРАМЕТРЫ'!$C$35)^INT((28-1)/12),0)</f>
        <v/>
      </c>
      <c r="AE21" s="76">
        <f>ROUND('⚙️ ПАРАМЕТРЫ'!$C$29*(1+'⚙️ ПАРАМЕТРЫ'!$C$35)^INT((29-1)/12),0)</f>
        <v/>
      </c>
      <c r="AF21" s="76">
        <f>ROUND('⚙️ ПАРАМЕТРЫ'!$C$29*(1+'⚙️ ПАРАМЕТРЫ'!$C$35)^INT((30-1)/12),0)</f>
        <v/>
      </c>
      <c r="AG21" s="76">
        <f>ROUND('⚙️ ПАРАМЕТРЫ'!$C$29*(1+'⚙️ ПАРАМЕТРЫ'!$C$35)^INT((31-1)/12),0)</f>
        <v/>
      </c>
      <c r="AH21" s="76">
        <f>ROUND('⚙️ ПАРАМЕТРЫ'!$C$29*(1+'⚙️ ПАРАМЕТРЫ'!$C$35)^INT((32-1)/12),0)</f>
        <v/>
      </c>
      <c r="AI21" s="76">
        <f>ROUND('⚙️ ПАРАМЕТРЫ'!$C$29*(1+'⚙️ ПАРАМЕТРЫ'!$C$35)^INT((33-1)/12),0)</f>
        <v/>
      </c>
      <c r="AJ21" s="76">
        <f>ROUND('⚙️ ПАРАМЕТРЫ'!$C$29*(1+'⚙️ ПАРАМЕТРЫ'!$C$35)^INT((34-1)/12),0)</f>
        <v/>
      </c>
      <c r="AK21" s="76">
        <f>ROUND('⚙️ ПАРАМЕТРЫ'!$C$29*(1+'⚙️ ПАРАМЕТРЫ'!$C$35)^INT((35-1)/12),0)</f>
        <v/>
      </c>
      <c r="AL21" s="76">
        <f>ROUND('⚙️ ПАРАМЕТРЫ'!$C$29*(1+'⚙️ ПАРАМЕТРЫ'!$C$35)^INT((36-1)/12),0)</f>
        <v/>
      </c>
    </row>
    <row r="22">
      <c r="A22" s="11" t="n"/>
      <c r="B22" s="11" t="inlineStr">
        <is>
          <t>Расходники</t>
        </is>
      </c>
      <c r="C22" s="76">
        <f>ROUND('⚙️ ПАРАМЕТРЫ'!$C$30*(1+'⚙️ ПАРАМЕТРЫ'!$C$35)^INT((1-1)/12),0)</f>
        <v/>
      </c>
      <c r="D22" s="76">
        <f>ROUND('⚙️ ПАРАМЕТРЫ'!$C$30*(1+'⚙️ ПАРАМЕТРЫ'!$C$35)^INT((2-1)/12),0)</f>
        <v/>
      </c>
      <c r="E22" s="76">
        <f>ROUND('⚙️ ПАРАМЕТРЫ'!$C$30*(1+'⚙️ ПАРАМЕТРЫ'!$C$35)^INT((3-1)/12),0)</f>
        <v/>
      </c>
      <c r="F22" s="76">
        <f>ROUND('⚙️ ПАРАМЕТРЫ'!$C$30*(1+'⚙️ ПАРАМЕТРЫ'!$C$35)^INT((4-1)/12),0)</f>
        <v/>
      </c>
      <c r="G22" s="76">
        <f>ROUND('⚙️ ПАРАМЕТРЫ'!$C$30*(1+'⚙️ ПАРАМЕТРЫ'!$C$35)^INT((5-1)/12),0)</f>
        <v/>
      </c>
      <c r="H22" s="76">
        <f>ROUND('⚙️ ПАРАМЕТРЫ'!$C$30*(1+'⚙️ ПАРАМЕТРЫ'!$C$35)^INT((6-1)/12),0)</f>
        <v/>
      </c>
      <c r="I22" s="76">
        <f>ROUND('⚙️ ПАРАМЕТРЫ'!$C$30*(1+'⚙️ ПАРАМЕТРЫ'!$C$35)^INT((7-1)/12),0)</f>
        <v/>
      </c>
      <c r="J22" s="76">
        <f>ROUND('⚙️ ПАРАМЕТРЫ'!$C$30*(1+'⚙️ ПАРАМЕТРЫ'!$C$35)^INT((8-1)/12),0)</f>
        <v/>
      </c>
      <c r="K22" s="76">
        <f>ROUND('⚙️ ПАРАМЕТРЫ'!$C$30*(1+'⚙️ ПАРАМЕТРЫ'!$C$35)^INT((9-1)/12),0)</f>
        <v/>
      </c>
      <c r="L22" s="76">
        <f>ROUND('⚙️ ПАРАМЕТРЫ'!$C$30*(1+'⚙️ ПАРАМЕТРЫ'!$C$35)^INT((10-1)/12),0)</f>
        <v/>
      </c>
      <c r="M22" s="76">
        <f>ROUND('⚙️ ПАРАМЕТРЫ'!$C$30*(1+'⚙️ ПАРАМЕТРЫ'!$C$35)^INT((11-1)/12),0)</f>
        <v/>
      </c>
      <c r="N22" s="76">
        <f>ROUND('⚙️ ПАРАМЕТРЫ'!$C$30*(1+'⚙️ ПАРАМЕТРЫ'!$C$35)^INT((12-1)/12),0)</f>
        <v/>
      </c>
      <c r="O22" s="76">
        <f>ROUND('⚙️ ПАРАМЕТРЫ'!$C$30*(1+'⚙️ ПАРАМЕТРЫ'!$C$35)^INT((13-1)/12),0)</f>
        <v/>
      </c>
      <c r="P22" s="76">
        <f>ROUND('⚙️ ПАРАМЕТРЫ'!$C$30*(1+'⚙️ ПАРАМЕТРЫ'!$C$35)^INT((14-1)/12),0)</f>
        <v/>
      </c>
      <c r="Q22" s="76">
        <f>ROUND('⚙️ ПАРАМЕТРЫ'!$C$30*(1+'⚙️ ПАРАМЕТРЫ'!$C$35)^INT((15-1)/12),0)</f>
        <v/>
      </c>
      <c r="R22" s="76">
        <f>ROUND('⚙️ ПАРАМЕТРЫ'!$C$30*(1+'⚙️ ПАРАМЕТРЫ'!$C$35)^INT((16-1)/12),0)</f>
        <v/>
      </c>
      <c r="S22" s="76">
        <f>ROUND('⚙️ ПАРАМЕТРЫ'!$C$30*(1+'⚙️ ПАРАМЕТРЫ'!$C$35)^INT((17-1)/12),0)</f>
        <v/>
      </c>
      <c r="T22" s="76">
        <f>ROUND('⚙️ ПАРАМЕТРЫ'!$C$30*(1+'⚙️ ПАРАМЕТРЫ'!$C$35)^INT((18-1)/12),0)</f>
        <v/>
      </c>
      <c r="U22" s="76">
        <f>ROUND('⚙️ ПАРАМЕТРЫ'!$C$30*(1+'⚙️ ПАРАМЕТРЫ'!$C$35)^INT((19-1)/12),0)</f>
        <v/>
      </c>
      <c r="V22" s="76">
        <f>ROUND('⚙️ ПАРАМЕТРЫ'!$C$30*(1+'⚙️ ПАРАМЕТРЫ'!$C$35)^INT((20-1)/12),0)</f>
        <v/>
      </c>
      <c r="W22" s="76">
        <f>ROUND('⚙️ ПАРАМЕТРЫ'!$C$30*(1+'⚙️ ПАРАМЕТРЫ'!$C$35)^INT((21-1)/12),0)</f>
        <v/>
      </c>
      <c r="X22" s="76">
        <f>ROUND('⚙️ ПАРАМЕТРЫ'!$C$30*(1+'⚙️ ПАРАМЕТРЫ'!$C$35)^INT((22-1)/12),0)</f>
        <v/>
      </c>
      <c r="Y22" s="76">
        <f>ROUND('⚙️ ПАРАМЕТРЫ'!$C$30*(1+'⚙️ ПАРАМЕТРЫ'!$C$35)^INT((23-1)/12),0)</f>
        <v/>
      </c>
      <c r="Z22" s="76">
        <f>ROUND('⚙️ ПАРАМЕТРЫ'!$C$30*(1+'⚙️ ПАРАМЕТРЫ'!$C$35)^INT((24-1)/12),0)</f>
        <v/>
      </c>
      <c r="AA22" s="76">
        <f>ROUND('⚙️ ПАРАМЕТРЫ'!$C$30*(1+'⚙️ ПАРАМЕТРЫ'!$C$35)^INT((25-1)/12),0)</f>
        <v/>
      </c>
      <c r="AB22" s="76">
        <f>ROUND('⚙️ ПАРАМЕТРЫ'!$C$30*(1+'⚙️ ПАРАМЕТРЫ'!$C$35)^INT((26-1)/12),0)</f>
        <v/>
      </c>
      <c r="AC22" s="76">
        <f>ROUND('⚙️ ПАРАМЕТРЫ'!$C$30*(1+'⚙️ ПАРАМЕТРЫ'!$C$35)^INT((27-1)/12),0)</f>
        <v/>
      </c>
      <c r="AD22" s="76">
        <f>ROUND('⚙️ ПАРАМЕТРЫ'!$C$30*(1+'⚙️ ПАРАМЕТРЫ'!$C$35)^INT((28-1)/12),0)</f>
        <v/>
      </c>
      <c r="AE22" s="76">
        <f>ROUND('⚙️ ПАРАМЕТРЫ'!$C$30*(1+'⚙️ ПАРАМЕТРЫ'!$C$35)^INT((29-1)/12),0)</f>
        <v/>
      </c>
      <c r="AF22" s="76">
        <f>ROUND('⚙️ ПАРАМЕТРЫ'!$C$30*(1+'⚙️ ПАРАМЕТРЫ'!$C$35)^INT((30-1)/12),0)</f>
        <v/>
      </c>
      <c r="AG22" s="76">
        <f>ROUND('⚙️ ПАРАМЕТРЫ'!$C$30*(1+'⚙️ ПАРАМЕТРЫ'!$C$35)^INT((31-1)/12),0)</f>
        <v/>
      </c>
      <c r="AH22" s="76">
        <f>ROUND('⚙️ ПАРАМЕТРЫ'!$C$30*(1+'⚙️ ПАРАМЕТРЫ'!$C$35)^INT((32-1)/12),0)</f>
        <v/>
      </c>
      <c r="AI22" s="76">
        <f>ROUND('⚙️ ПАРАМЕТРЫ'!$C$30*(1+'⚙️ ПАРАМЕТРЫ'!$C$35)^INT((33-1)/12),0)</f>
        <v/>
      </c>
      <c r="AJ22" s="76">
        <f>ROUND('⚙️ ПАРАМЕТРЫ'!$C$30*(1+'⚙️ ПАРАМЕТРЫ'!$C$35)^INT((34-1)/12),0)</f>
        <v/>
      </c>
      <c r="AK22" s="76">
        <f>ROUND('⚙️ ПАРАМЕТРЫ'!$C$30*(1+'⚙️ ПАРАМЕТРЫ'!$C$35)^INT((35-1)/12),0)</f>
        <v/>
      </c>
      <c r="AL22" s="76">
        <f>ROUND('⚙️ ПАРАМЕТРЫ'!$C$30*(1+'⚙️ ПАРАМЕТРЫ'!$C$35)^INT((36-1)/12),0)</f>
        <v/>
      </c>
    </row>
    <row r="23">
      <c r="A23" s="11" t="n"/>
      <c r="B23" s="11" t="inlineStr">
        <is>
          <t>Софт/касса</t>
        </is>
      </c>
      <c r="C23" s="76">
        <f>ROUND('⚙️ ПАРАМЕТРЫ'!$C$31*(1+'⚙️ ПАРАМЕТРЫ'!$C$35)^INT((1-1)/12),0)</f>
        <v/>
      </c>
      <c r="D23" s="76">
        <f>ROUND('⚙️ ПАРАМЕТРЫ'!$C$31*(1+'⚙️ ПАРАМЕТРЫ'!$C$35)^INT((2-1)/12),0)</f>
        <v/>
      </c>
      <c r="E23" s="76">
        <f>ROUND('⚙️ ПАРАМЕТРЫ'!$C$31*(1+'⚙️ ПАРАМЕТРЫ'!$C$35)^INT((3-1)/12),0)</f>
        <v/>
      </c>
      <c r="F23" s="76">
        <f>ROUND('⚙️ ПАРАМЕТРЫ'!$C$31*(1+'⚙️ ПАРАМЕТРЫ'!$C$35)^INT((4-1)/12),0)</f>
        <v/>
      </c>
      <c r="G23" s="76">
        <f>ROUND('⚙️ ПАРАМЕТРЫ'!$C$31*(1+'⚙️ ПАРАМЕТРЫ'!$C$35)^INT((5-1)/12),0)</f>
        <v/>
      </c>
      <c r="H23" s="76">
        <f>ROUND('⚙️ ПАРАМЕТРЫ'!$C$31*(1+'⚙️ ПАРАМЕТРЫ'!$C$35)^INT((6-1)/12),0)</f>
        <v/>
      </c>
      <c r="I23" s="76">
        <f>ROUND('⚙️ ПАРАМЕТРЫ'!$C$31*(1+'⚙️ ПАРАМЕТРЫ'!$C$35)^INT((7-1)/12),0)</f>
        <v/>
      </c>
      <c r="J23" s="76">
        <f>ROUND('⚙️ ПАРАМЕТРЫ'!$C$31*(1+'⚙️ ПАРАМЕТРЫ'!$C$35)^INT((8-1)/12),0)</f>
        <v/>
      </c>
      <c r="K23" s="76">
        <f>ROUND('⚙️ ПАРАМЕТРЫ'!$C$31*(1+'⚙️ ПАРАМЕТРЫ'!$C$35)^INT((9-1)/12),0)</f>
        <v/>
      </c>
      <c r="L23" s="76">
        <f>ROUND('⚙️ ПАРАМЕТРЫ'!$C$31*(1+'⚙️ ПАРАМЕТРЫ'!$C$35)^INT((10-1)/12),0)</f>
        <v/>
      </c>
      <c r="M23" s="76">
        <f>ROUND('⚙️ ПАРАМЕТРЫ'!$C$31*(1+'⚙️ ПАРАМЕТРЫ'!$C$35)^INT((11-1)/12),0)</f>
        <v/>
      </c>
      <c r="N23" s="76">
        <f>ROUND('⚙️ ПАРАМЕТРЫ'!$C$31*(1+'⚙️ ПАРАМЕТРЫ'!$C$35)^INT((12-1)/12),0)</f>
        <v/>
      </c>
      <c r="O23" s="76">
        <f>ROUND('⚙️ ПАРАМЕТРЫ'!$C$31*(1+'⚙️ ПАРАМЕТРЫ'!$C$35)^INT((13-1)/12),0)</f>
        <v/>
      </c>
      <c r="P23" s="76">
        <f>ROUND('⚙️ ПАРАМЕТРЫ'!$C$31*(1+'⚙️ ПАРАМЕТРЫ'!$C$35)^INT((14-1)/12),0)</f>
        <v/>
      </c>
      <c r="Q23" s="76">
        <f>ROUND('⚙️ ПАРАМЕТРЫ'!$C$31*(1+'⚙️ ПАРАМЕТРЫ'!$C$35)^INT((15-1)/12),0)</f>
        <v/>
      </c>
      <c r="R23" s="76">
        <f>ROUND('⚙️ ПАРАМЕТРЫ'!$C$31*(1+'⚙️ ПАРАМЕТРЫ'!$C$35)^INT((16-1)/12),0)</f>
        <v/>
      </c>
      <c r="S23" s="76">
        <f>ROUND('⚙️ ПАРАМЕТРЫ'!$C$31*(1+'⚙️ ПАРАМЕТРЫ'!$C$35)^INT((17-1)/12),0)</f>
        <v/>
      </c>
      <c r="T23" s="76">
        <f>ROUND('⚙️ ПАРАМЕТРЫ'!$C$31*(1+'⚙️ ПАРАМЕТРЫ'!$C$35)^INT((18-1)/12),0)</f>
        <v/>
      </c>
      <c r="U23" s="76">
        <f>ROUND('⚙️ ПАРАМЕТРЫ'!$C$31*(1+'⚙️ ПАРАМЕТРЫ'!$C$35)^INT((19-1)/12),0)</f>
        <v/>
      </c>
      <c r="V23" s="76">
        <f>ROUND('⚙️ ПАРАМЕТРЫ'!$C$31*(1+'⚙️ ПАРАМЕТРЫ'!$C$35)^INT((20-1)/12),0)</f>
        <v/>
      </c>
      <c r="W23" s="76">
        <f>ROUND('⚙️ ПАРАМЕТРЫ'!$C$31*(1+'⚙️ ПАРАМЕТРЫ'!$C$35)^INT((21-1)/12),0)</f>
        <v/>
      </c>
      <c r="X23" s="76">
        <f>ROUND('⚙️ ПАРАМЕТРЫ'!$C$31*(1+'⚙️ ПАРАМЕТРЫ'!$C$35)^INT((22-1)/12),0)</f>
        <v/>
      </c>
      <c r="Y23" s="76">
        <f>ROUND('⚙️ ПАРАМЕТРЫ'!$C$31*(1+'⚙️ ПАРАМЕТРЫ'!$C$35)^INT((23-1)/12),0)</f>
        <v/>
      </c>
      <c r="Z23" s="76">
        <f>ROUND('⚙️ ПАРАМЕТРЫ'!$C$31*(1+'⚙️ ПАРАМЕТРЫ'!$C$35)^INT((24-1)/12),0)</f>
        <v/>
      </c>
      <c r="AA23" s="76">
        <f>ROUND('⚙️ ПАРАМЕТРЫ'!$C$31*(1+'⚙️ ПАРАМЕТРЫ'!$C$35)^INT((25-1)/12),0)</f>
        <v/>
      </c>
      <c r="AB23" s="76">
        <f>ROUND('⚙️ ПАРАМЕТРЫ'!$C$31*(1+'⚙️ ПАРАМЕТРЫ'!$C$35)^INT((26-1)/12),0)</f>
        <v/>
      </c>
      <c r="AC23" s="76">
        <f>ROUND('⚙️ ПАРАМЕТРЫ'!$C$31*(1+'⚙️ ПАРАМЕТРЫ'!$C$35)^INT((27-1)/12),0)</f>
        <v/>
      </c>
      <c r="AD23" s="76">
        <f>ROUND('⚙️ ПАРАМЕТРЫ'!$C$31*(1+'⚙️ ПАРАМЕТРЫ'!$C$35)^INT((28-1)/12),0)</f>
        <v/>
      </c>
      <c r="AE23" s="76">
        <f>ROUND('⚙️ ПАРАМЕТРЫ'!$C$31*(1+'⚙️ ПАРАМЕТРЫ'!$C$35)^INT((29-1)/12),0)</f>
        <v/>
      </c>
      <c r="AF23" s="76">
        <f>ROUND('⚙️ ПАРАМЕТРЫ'!$C$31*(1+'⚙️ ПАРАМЕТРЫ'!$C$35)^INT((30-1)/12),0)</f>
        <v/>
      </c>
      <c r="AG23" s="76">
        <f>ROUND('⚙️ ПАРАМЕТРЫ'!$C$31*(1+'⚙️ ПАРАМЕТРЫ'!$C$35)^INT((31-1)/12),0)</f>
        <v/>
      </c>
      <c r="AH23" s="76">
        <f>ROUND('⚙️ ПАРАМЕТРЫ'!$C$31*(1+'⚙️ ПАРАМЕТРЫ'!$C$35)^INT((32-1)/12),0)</f>
        <v/>
      </c>
      <c r="AI23" s="76">
        <f>ROUND('⚙️ ПАРАМЕТРЫ'!$C$31*(1+'⚙️ ПАРАМЕТРЫ'!$C$35)^INT((33-1)/12),0)</f>
        <v/>
      </c>
      <c r="AJ23" s="76">
        <f>ROUND('⚙️ ПАРАМЕТРЫ'!$C$31*(1+'⚙️ ПАРАМЕТРЫ'!$C$35)^INT((34-1)/12),0)</f>
        <v/>
      </c>
      <c r="AK23" s="76">
        <f>ROUND('⚙️ ПАРАМЕТРЫ'!$C$31*(1+'⚙️ ПАРАМЕТРЫ'!$C$35)^INT((35-1)/12),0)</f>
        <v/>
      </c>
      <c r="AL23" s="76">
        <f>ROUND('⚙️ ПАРАМЕТРЫ'!$C$31*(1+'⚙️ ПАРАМЕТРЫ'!$C$35)^INT((36-1)/12),0)</f>
        <v/>
      </c>
    </row>
    <row r="24">
      <c r="A24" s="11" t="n"/>
      <c r="B24" s="11" t="inlineStr">
        <is>
          <t>Прочие</t>
        </is>
      </c>
      <c r="C24" s="76">
        <f>ROUND('⚙️ ПАРАМЕТРЫ'!$C$32*(1+'⚙️ ПАРАМЕТРЫ'!$C$35)^INT((1-1)/12),0)</f>
        <v/>
      </c>
      <c r="D24" s="76">
        <f>ROUND('⚙️ ПАРАМЕТРЫ'!$C$32*(1+'⚙️ ПАРАМЕТРЫ'!$C$35)^INT((2-1)/12),0)</f>
        <v/>
      </c>
      <c r="E24" s="76">
        <f>ROUND('⚙️ ПАРАМЕТРЫ'!$C$32*(1+'⚙️ ПАРАМЕТРЫ'!$C$35)^INT((3-1)/12),0)</f>
        <v/>
      </c>
      <c r="F24" s="76">
        <f>ROUND('⚙️ ПАРАМЕТРЫ'!$C$32*(1+'⚙️ ПАРАМЕТРЫ'!$C$35)^INT((4-1)/12),0)</f>
        <v/>
      </c>
      <c r="G24" s="76">
        <f>ROUND('⚙️ ПАРАМЕТРЫ'!$C$32*(1+'⚙️ ПАРАМЕТРЫ'!$C$35)^INT((5-1)/12),0)</f>
        <v/>
      </c>
      <c r="H24" s="76">
        <f>ROUND('⚙️ ПАРАМЕТРЫ'!$C$32*(1+'⚙️ ПАРАМЕТРЫ'!$C$35)^INT((6-1)/12),0)</f>
        <v/>
      </c>
      <c r="I24" s="76">
        <f>ROUND('⚙️ ПАРАМЕТРЫ'!$C$32*(1+'⚙️ ПАРАМЕТРЫ'!$C$35)^INT((7-1)/12),0)</f>
        <v/>
      </c>
      <c r="J24" s="76">
        <f>ROUND('⚙️ ПАРАМЕТРЫ'!$C$32*(1+'⚙️ ПАРАМЕТРЫ'!$C$35)^INT((8-1)/12),0)</f>
        <v/>
      </c>
      <c r="K24" s="76">
        <f>ROUND('⚙️ ПАРАМЕТРЫ'!$C$32*(1+'⚙️ ПАРАМЕТРЫ'!$C$35)^INT((9-1)/12),0)</f>
        <v/>
      </c>
      <c r="L24" s="76">
        <f>ROUND('⚙️ ПАРАМЕТРЫ'!$C$32*(1+'⚙️ ПАРАМЕТРЫ'!$C$35)^INT((10-1)/12),0)</f>
        <v/>
      </c>
      <c r="M24" s="76">
        <f>ROUND('⚙️ ПАРАМЕТРЫ'!$C$32*(1+'⚙️ ПАРАМЕТРЫ'!$C$35)^INT((11-1)/12),0)</f>
        <v/>
      </c>
      <c r="N24" s="76">
        <f>ROUND('⚙️ ПАРАМЕТРЫ'!$C$32*(1+'⚙️ ПАРАМЕТРЫ'!$C$35)^INT((12-1)/12),0)</f>
        <v/>
      </c>
      <c r="O24" s="76">
        <f>ROUND('⚙️ ПАРАМЕТРЫ'!$C$32*(1+'⚙️ ПАРАМЕТРЫ'!$C$35)^INT((13-1)/12),0)</f>
        <v/>
      </c>
      <c r="P24" s="76">
        <f>ROUND('⚙️ ПАРАМЕТРЫ'!$C$32*(1+'⚙️ ПАРАМЕТРЫ'!$C$35)^INT((14-1)/12),0)</f>
        <v/>
      </c>
      <c r="Q24" s="76">
        <f>ROUND('⚙️ ПАРАМЕТРЫ'!$C$32*(1+'⚙️ ПАРАМЕТРЫ'!$C$35)^INT((15-1)/12),0)</f>
        <v/>
      </c>
      <c r="R24" s="76">
        <f>ROUND('⚙️ ПАРАМЕТРЫ'!$C$32*(1+'⚙️ ПАРАМЕТРЫ'!$C$35)^INT((16-1)/12),0)</f>
        <v/>
      </c>
      <c r="S24" s="76">
        <f>ROUND('⚙️ ПАРАМЕТРЫ'!$C$32*(1+'⚙️ ПАРАМЕТРЫ'!$C$35)^INT((17-1)/12),0)</f>
        <v/>
      </c>
      <c r="T24" s="76">
        <f>ROUND('⚙️ ПАРАМЕТРЫ'!$C$32*(1+'⚙️ ПАРАМЕТРЫ'!$C$35)^INT((18-1)/12),0)</f>
        <v/>
      </c>
      <c r="U24" s="76">
        <f>ROUND('⚙️ ПАРАМЕТРЫ'!$C$32*(1+'⚙️ ПАРАМЕТРЫ'!$C$35)^INT((19-1)/12),0)</f>
        <v/>
      </c>
      <c r="V24" s="76">
        <f>ROUND('⚙️ ПАРАМЕТРЫ'!$C$32*(1+'⚙️ ПАРАМЕТРЫ'!$C$35)^INT((20-1)/12),0)</f>
        <v/>
      </c>
      <c r="W24" s="76">
        <f>ROUND('⚙️ ПАРАМЕТРЫ'!$C$32*(1+'⚙️ ПАРАМЕТРЫ'!$C$35)^INT((21-1)/12),0)</f>
        <v/>
      </c>
      <c r="X24" s="76">
        <f>ROUND('⚙️ ПАРАМЕТРЫ'!$C$32*(1+'⚙️ ПАРАМЕТРЫ'!$C$35)^INT((22-1)/12),0)</f>
        <v/>
      </c>
      <c r="Y24" s="76">
        <f>ROUND('⚙️ ПАРАМЕТРЫ'!$C$32*(1+'⚙️ ПАРАМЕТРЫ'!$C$35)^INT((23-1)/12),0)</f>
        <v/>
      </c>
      <c r="Z24" s="76">
        <f>ROUND('⚙️ ПАРАМЕТРЫ'!$C$32*(1+'⚙️ ПАРАМЕТРЫ'!$C$35)^INT((24-1)/12),0)</f>
        <v/>
      </c>
      <c r="AA24" s="76">
        <f>ROUND('⚙️ ПАРАМЕТРЫ'!$C$32*(1+'⚙️ ПАРАМЕТРЫ'!$C$35)^INT((25-1)/12),0)</f>
        <v/>
      </c>
      <c r="AB24" s="76">
        <f>ROUND('⚙️ ПАРАМЕТРЫ'!$C$32*(1+'⚙️ ПАРАМЕТРЫ'!$C$35)^INT((26-1)/12),0)</f>
        <v/>
      </c>
      <c r="AC24" s="76">
        <f>ROUND('⚙️ ПАРАМЕТРЫ'!$C$32*(1+'⚙️ ПАРАМЕТРЫ'!$C$35)^INT((27-1)/12),0)</f>
        <v/>
      </c>
      <c r="AD24" s="76">
        <f>ROUND('⚙️ ПАРАМЕТРЫ'!$C$32*(1+'⚙️ ПАРАМЕТРЫ'!$C$35)^INT((28-1)/12),0)</f>
        <v/>
      </c>
      <c r="AE24" s="76">
        <f>ROUND('⚙️ ПАРАМЕТРЫ'!$C$32*(1+'⚙️ ПАРАМЕТРЫ'!$C$35)^INT((29-1)/12),0)</f>
        <v/>
      </c>
      <c r="AF24" s="76">
        <f>ROUND('⚙️ ПАРАМЕТРЫ'!$C$32*(1+'⚙️ ПАРАМЕТРЫ'!$C$35)^INT((30-1)/12),0)</f>
        <v/>
      </c>
      <c r="AG24" s="76">
        <f>ROUND('⚙️ ПАРАМЕТРЫ'!$C$32*(1+'⚙️ ПАРАМЕТРЫ'!$C$35)^INT((31-1)/12),0)</f>
        <v/>
      </c>
      <c r="AH24" s="76">
        <f>ROUND('⚙️ ПАРАМЕТРЫ'!$C$32*(1+'⚙️ ПАРАМЕТРЫ'!$C$35)^INT((32-1)/12),0)</f>
        <v/>
      </c>
      <c r="AI24" s="76">
        <f>ROUND('⚙️ ПАРАМЕТРЫ'!$C$32*(1+'⚙️ ПАРАМЕТРЫ'!$C$35)^INT((33-1)/12),0)</f>
        <v/>
      </c>
      <c r="AJ24" s="76">
        <f>ROUND('⚙️ ПАРАМЕТРЫ'!$C$32*(1+'⚙️ ПАРАМЕТРЫ'!$C$35)^INT((34-1)/12),0)</f>
        <v/>
      </c>
      <c r="AK24" s="76">
        <f>ROUND('⚙️ ПАРАМЕТРЫ'!$C$32*(1+'⚙️ ПАРАМЕТРЫ'!$C$35)^INT((35-1)/12),0)</f>
        <v/>
      </c>
      <c r="AL24" s="76">
        <f>ROUND('⚙️ ПАРАМЕТРЫ'!$C$32*(1+'⚙️ ПАРАМЕТРЫ'!$C$35)^INT((36-1)/12),0)</f>
        <v/>
      </c>
    </row>
    <row r="25">
      <c r="A25" s="13" t="n"/>
      <c r="B25" s="13" t="inlineStr">
        <is>
          <t>Итого постоянные</t>
        </is>
      </c>
      <c r="C25" s="75">
        <f>C18+C19+C20+C21+C22+C23+C24</f>
        <v/>
      </c>
      <c r="D25" s="75">
        <f>D18+D19+D20+D21+D22+D23+D24</f>
        <v/>
      </c>
      <c r="E25" s="75">
        <f>E18+E19+E20+E21+E22+E23+E24</f>
        <v/>
      </c>
      <c r="F25" s="75">
        <f>F18+F19+F20+F21+F22+F23+F24</f>
        <v/>
      </c>
      <c r="G25" s="75">
        <f>G18+G19+G20+G21+G22+G23+G24</f>
        <v/>
      </c>
      <c r="H25" s="75">
        <f>H18+H19+H20+H21+H22+H23+H24</f>
        <v/>
      </c>
      <c r="I25" s="75">
        <f>I18+I19+I20+I21+I22+I23+I24</f>
        <v/>
      </c>
      <c r="J25" s="75">
        <f>J18+J19+J20+J21+J22+J23+J24</f>
        <v/>
      </c>
      <c r="K25" s="75">
        <f>K18+K19+K20+K21+K22+K23+K24</f>
        <v/>
      </c>
      <c r="L25" s="75">
        <f>L18+L19+L20+L21+L22+L23+L24</f>
        <v/>
      </c>
      <c r="M25" s="75">
        <f>M18+M19+M20+M21+M22+M23+M24</f>
        <v/>
      </c>
      <c r="N25" s="75">
        <f>N18+N19+N20+N21+N22+N23+N24</f>
        <v/>
      </c>
      <c r="O25" s="75">
        <f>O18+O19+O20+O21+O22+O23+O24</f>
        <v/>
      </c>
      <c r="P25" s="75">
        <f>P18+P19+P20+P21+P22+P23+P24</f>
        <v/>
      </c>
      <c r="Q25" s="75">
        <f>Q18+Q19+Q20+Q21+Q22+Q23+Q24</f>
        <v/>
      </c>
      <c r="R25" s="75">
        <f>R18+R19+R20+R21+R22+R23+R24</f>
        <v/>
      </c>
      <c r="S25" s="75">
        <f>S18+S19+S20+S21+S22+S23+S24</f>
        <v/>
      </c>
      <c r="T25" s="75">
        <f>T18+T19+T20+T21+T22+T23+T24</f>
        <v/>
      </c>
      <c r="U25" s="75">
        <f>U18+U19+U20+U21+U22+U23+U24</f>
        <v/>
      </c>
      <c r="V25" s="75">
        <f>V18+V19+V20+V21+V22+V23+V24</f>
        <v/>
      </c>
      <c r="W25" s="75">
        <f>W18+W19+W20+W21+W22+W23+W24</f>
        <v/>
      </c>
      <c r="X25" s="75">
        <f>X18+X19+X20+X21+X22+X23+X24</f>
        <v/>
      </c>
      <c r="Y25" s="75">
        <f>Y18+Y19+Y20+Y21+Y22+Y23+Y24</f>
        <v/>
      </c>
      <c r="Z25" s="75">
        <f>Z18+Z19+Z20+Z21+Z22+Z23+Z24</f>
        <v/>
      </c>
      <c r="AA25" s="75">
        <f>AA18+AA19+AA20+AA21+AA22+AA23+AA24</f>
        <v/>
      </c>
      <c r="AB25" s="75">
        <f>AB18+AB19+AB20+AB21+AB22+AB23+AB24</f>
        <v/>
      </c>
      <c r="AC25" s="75">
        <f>AC18+AC19+AC20+AC21+AC22+AC23+AC24</f>
        <v/>
      </c>
      <c r="AD25" s="75">
        <f>AD18+AD19+AD20+AD21+AD22+AD23+AD24</f>
        <v/>
      </c>
      <c r="AE25" s="75">
        <f>AE18+AE19+AE20+AE21+AE22+AE23+AE24</f>
        <v/>
      </c>
      <c r="AF25" s="75">
        <f>AF18+AF19+AF20+AF21+AF22+AF23+AF24</f>
        <v/>
      </c>
      <c r="AG25" s="75">
        <f>AG18+AG19+AG20+AG21+AG22+AG23+AG24</f>
        <v/>
      </c>
      <c r="AH25" s="75">
        <f>AH18+AH19+AH20+AH21+AH22+AH23+AH24</f>
        <v/>
      </c>
      <c r="AI25" s="75">
        <f>AI18+AI19+AI20+AI21+AI22+AI23+AI24</f>
        <v/>
      </c>
      <c r="AJ25" s="75">
        <f>AJ18+AJ19+AJ20+AJ21+AJ22+AJ23+AJ24</f>
        <v/>
      </c>
      <c r="AK25" s="75">
        <f>AK18+AK19+AK20+AK21+AK22+AK23+AK24</f>
        <v/>
      </c>
      <c r="AL25" s="75">
        <f>AL18+AL19+AL20+AL21+AL22+AL23+AL24</f>
        <v/>
      </c>
    </row>
    <row r="26">
      <c r="A26" s="13" t="n"/>
      <c r="B26" s="13" t="inlineStr">
        <is>
          <t>EBITDA</t>
        </is>
      </c>
      <c r="C26" s="75">
        <f>C16-C25</f>
        <v/>
      </c>
      <c r="D26" s="75">
        <f>D16-D25</f>
        <v/>
      </c>
      <c r="E26" s="75">
        <f>E16-E25</f>
        <v/>
      </c>
      <c r="F26" s="75">
        <f>F16-F25</f>
        <v/>
      </c>
      <c r="G26" s="75">
        <f>G16-G25</f>
        <v/>
      </c>
      <c r="H26" s="75">
        <f>H16-H25</f>
        <v/>
      </c>
      <c r="I26" s="75">
        <f>I16-I25</f>
        <v/>
      </c>
      <c r="J26" s="75">
        <f>J16-J25</f>
        <v/>
      </c>
      <c r="K26" s="75">
        <f>K16-K25</f>
        <v/>
      </c>
      <c r="L26" s="75">
        <f>L16-L25</f>
        <v/>
      </c>
      <c r="M26" s="75">
        <f>M16-M25</f>
        <v/>
      </c>
      <c r="N26" s="75">
        <f>N16-N25</f>
        <v/>
      </c>
      <c r="O26" s="75">
        <f>O16-O25</f>
        <v/>
      </c>
      <c r="P26" s="75">
        <f>P16-P25</f>
        <v/>
      </c>
      <c r="Q26" s="75">
        <f>Q16-Q25</f>
        <v/>
      </c>
      <c r="R26" s="75">
        <f>R16-R25</f>
        <v/>
      </c>
      <c r="S26" s="75">
        <f>S16-S25</f>
        <v/>
      </c>
      <c r="T26" s="75">
        <f>T16-T25</f>
        <v/>
      </c>
      <c r="U26" s="75">
        <f>U16-U25</f>
        <v/>
      </c>
      <c r="V26" s="75">
        <f>V16-V25</f>
        <v/>
      </c>
      <c r="W26" s="75">
        <f>W16-W25</f>
        <v/>
      </c>
      <c r="X26" s="75">
        <f>X16-X25</f>
        <v/>
      </c>
      <c r="Y26" s="75">
        <f>Y16-Y25</f>
        <v/>
      </c>
      <c r="Z26" s="75">
        <f>Z16-Z25</f>
        <v/>
      </c>
      <c r="AA26" s="75">
        <f>AA16-AA25</f>
        <v/>
      </c>
      <c r="AB26" s="75">
        <f>AB16-AB25</f>
        <v/>
      </c>
      <c r="AC26" s="75">
        <f>AC16-AC25</f>
        <v/>
      </c>
      <c r="AD26" s="75">
        <f>AD16-AD25</f>
        <v/>
      </c>
      <c r="AE26" s="75">
        <f>AE16-AE25</f>
        <v/>
      </c>
      <c r="AF26" s="75">
        <f>AF16-AF25</f>
        <v/>
      </c>
      <c r="AG26" s="75">
        <f>AG16-AG25</f>
        <v/>
      </c>
      <c r="AH26" s="75">
        <f>AH16-AH25</f>
        <v/>
      </c>
      <c r="AI26" s="75">
        <f>AI16-AI25</f>
        <v/>
      </c>
      <c r="AJ26" s="75">
        <f>AJ16-AJ25</f>
        <v/>
      </c>
      <c r="AK26" s="75">
        <f>AK16-AK25</f>
        <v/>
      </c>
      <c r="AL26" s="75">
        <f>AL16-AL25</f>
        <v/>
      </c>
    </row>
    <row r="27">
      <c r="A27" s="11" t="n"/>
      <c r="B27" s="11" t="inlineStr">
        <is>
          <t>Амортизация</t>
        </is>
      </c>
      <c r="C27" s="76">
        <f>'⚙️ ПАРАМЕТРЫ'!$C$43</f>
        <v/>
      </c>
      <c r="D27" s="76">
        <f>'⚙️ ПАРАМЕТРЫ'!$C$43</f>
        <v/>
      </c>
      <c r="E27" s="76">
        <f>'⚙️ ПАРАМЕТРЫ'!$C$43</f>
        <v/>
      </c>
      <c r="F27" s="76">
        <f>'⚙️ ПАРАМЕТРЫ'!$C$43</f>
        <v/>
      </c>
      <c r="G27" s="76">
        <f>'⚙️ ПАРАМЕТРЫ'!$C$43</f>
        <v/>
      </c>
      <c r="H27" s="76">
        <f>'⚙️ ПАРАМЕТРЫ'!$C$43</f>
        <v/>
      </c>
      <c r="I27" s="76">
        <f>'⚙️ ПАРАМЕТРЫ'!$C$43</f>
        <v/>
      </c>
      <c r="J27" s="76">
        <f>'⚙️ ПАРАМЕТРЫ'!$C$43</f>
        <v/>
      </c>
      <c r="K27" s="76">
        <f>'⚙️ ПАРАМЕТРЫ'!$C$43</f>
        <v/>
      </c>
      <c r="L27" s="76">
        <f>'⚙️ ПАРАМЕТРЫ'!$C$43</f>
        <v/>
      </c>
      <c r="M27" s="76">
        <f>'⚙️ ПАРАМЕТРЫ'!$C$43</f>
        <v/>
      </c>
      <c r="N27" s="76">
        <f>'⚙️ ПАРАМЕТРЫ'!$C$43</f>
        <v/>
      </c>
      <c r="O27" s="76">
        <f>'⚙️ ПАРАМЕТРЫ'!$C$43</f>
        <v/>
      </c>
      <c r="P27" s="76">
        <f>'⚙️ ПАРАМЕТРЫ'!$C$43</f>
        <v/>
      </c>
      <c r="Q27" s="76">
        <f>'⚙️ ПАРАМЕТРЫ'!$C$43</f>
        <v/>
      </c>
      <c r="R27" s="76">
        <f>'⚙️ ПАРАМЕТРЫ'!$C$43</f>
        <v/>
      </c>
      <c r="S27" s="76">
        <f>'⚙️ ПАРАМЕТРЫ'!$C$43</f>
        <v/>
      </c>
      <c r="T27" s="76">
        <f>'⚙️ ПАРАМЕТРЫ'!$C$43</f>
        <v/>
      </c>
      <c r="U27" s="76">
        <f>'⚙️ ПАРАМЕТРЫ'!$C$43</f>
        <v/>
      </c>
      <c r="V27" s="76">
        <f>'⚙️ ПАРАМЕТРЫ'!$C$43</f>
        <v/>
      </c>
      <c r="W27" s="76">
        <f>'⚙️ ПАРАМЕТРЫ'!$C$43</f>
        <v/>
      </c>
      <c r="X27" s="76">
        <f>'⚙️ ПАРАМЕТРЫ'!$C$43</f>
        <v/>
      </c>
      <c r="Y27" s="76">
        <f>'⚙️ ПАРАМЕТРЫ'!$C$43</f>
        <v/>
      </c>
      <c r="Z27" s="76">
        <f>'⚙️ ПАРАМЕТРЫ'!$C$43</f>
        <v/>
      </c>
      <c r="AA27" s="76">
        <f>'⚙️ ПАРАМЕТРЫ'!$C$43</f>
        <v/>
      </c>
      <c r="AB27" s="76">
        <f>'⚙️ ПАРАМЕТРЫ'!$C$43</f>
        <v/>
      </c>
      <c r="AC27" s="76">
        <f>'⚙️ ПАРАМЕТРЫ'!$C$43</f>
        <v/>
      </c>
      <c r="AD27" s="76">
        <f>'⚙️ ПАРАМЕТРЫ'!$C$43</f>
        <v/>
      </c>
      <c r="AE27" s="76">
        <f>'⚙️ ПАРАМЕТРЫ'!$C$43</f>
        <v/>
      </c>
      <c r="AF27" s="76">
        <f>'⚙️ ПАРАМЕТРЫ'!$C$43</f>
        <v/>
      </c>
      <c r="AG27" s="76">
        <f>'⚙️ ПАРАМЕТРЫ'!$C$43</f>
        <v/>
      </c>
      <c r="AH27" s="76">
        <f>'⚙️ ПАРАМЕТРЫ'!$C$43</f>
        <v/>
      </c>
      <c r="AI27" s="76">
        <f>'⚙️ ПАРАМЕТРЫ'!$C$43</f>
        <v/>
      </c>
      <c r="AJ27" s="76">
        <f>'⚙️ ПАРАМЕТРЫ'!$C$43</f>
        <v/>
      </c>
      <c r="AK27" s="76">
        <f>'⚙️ ПАРАМЕТРЫ'!$C$43</f>
        <v/>
      </c>
      <c r="AL27" s="76">
        <f>'⚙️ ПАРАМЕТРЫ'!$C$43</f>
        <v/>
      </c>
    </row>
    <row r="28">
      <c r="A28" s="31" t="n"/>
      <c r="B28" s="31" t="inlineStr">
        <is>
          <t>EBIT</t>
        </is>
      </c>
      <c r="C28" s="76">
        <f>C26-C27</f>
        <v/>
      </c>
      <c r="D28" s="76">
        <f>D26-D27</f>
        <v/>
      </c>
      <c r="E28" s="76">
        <f>E26-E27</f>
        <v/>
      </c>
      <c r="F28" s="76">
        <f>F26-F27</f>
        <v/>
      </c>
      <c r="G28" s="76">
        <f>G26-G27</f>
        <v/>
      </c>
      <c r="H28" s="76">
        <f>H26-H27</f>
        <v/>
      </c>
      <c r="I28" s="76">
        <f>I26-I27</f>
        <v/>
      </c>
      <c r="J28" s="76">
        <f>J26-J27</f>
        <v/>
      </c>
      <c r="K28" s="76">
        <f>K26-K27</f>
        <v/>
      </c>
      <c r="L28" s="76">
        <f>L26-L27</f>
        <v/>
      </c>
      <c r="M28" s="76">
        <f>M26-M27</f>
        <v/>
      </c>
      <c r="N28" s="76">
        <f>N26-N27</f>
        <v/>
      </c>
      <c r="O28" s="76">
        <f>O26-O27</f>
        <v/>
      </c>
      <c r="P28" s="76">
        <f>P26-P27</f>
        <v/>
      </c>
      <c r="Q28" s="76">
        <f>Q26-Q27</f>
        <v/>
      </c>
      <c r="R28" s="76">
        <f>R26-R27</f>
        <v/>
      </c>
      <c r="S28" s="76">
        <f>S26-S27</f>
        <v/>
      </c>
      <c r="T28" s="76">
        <f>T26-T27</f>
        <v/>
      </c>
      <c r="U28" s="76">
        <f>U26-U27</f>
        <v/>
      </c>
      <c r="V28" s="76">
        <f>V26-V27</f>
        <v/>
      </c>
      <c r="W28" s="76">
        <f>W26-W27</f>
        <v/>
      </c>
      <c r="X28" s="76">
        <f>X26-X27</f>
        <v/>
      </c>
      <c r="Y28" s="76">
        <f>Y26-Y27</f>
        <v/>
      </c>
      <c r="Z28" s="76">
        <f>Z26-Z27</f>
        <v/>
      </c>
      <c r="AA28" s="76">
        <f>AA26-AA27</f>
        <v/>
      </c>
      <c r="AB28" s="76">
        <f>AB26-AB27</f>
        <v/>
      </c>
      <c r="AC28" s="76">
        <f>AC26-AC27</f>
        <v/>
      </c>
      <c r="AD28" s="76">
        <f>AD26-AD27</f>
        <v/>
      </c>
      <c r="AE28" s="76">
        <f>AE26-AE27</f>
        <v/>
      </c>
      <c r="AF28" s="76">
        <f>AF26-AF27</f>
        <v/>
      </c>
      <c r="AG28" s="76">
        <f>AG26-AG27</f>
        <v/>
      </c>
      <c r="AH28" s="76">
        <f>AH26-AH27</f>
        <v/>
      </c>
      <c r="AI28" s="76">
        <f>AI26-AI27</f>
        <v/>
      </c>
      <c r="AJ28" s="76">
        <f>AJ26-AJ27</f>
        <v/>
      </c>
      <c r="AK28" s="76">
        <f>AK26-AK27</f>
        <v/>
      </c>
      <c r="AL28" s="76">
        <f>AL26-AL27</f>
        <v/>
      </c>
    </row>
    <row r="29">
      <c r="A29" s="11" t="n"/>
      <c r="B29" s="11" t="inlineStr">
        <is>
          <t>Проценты по кредиту</t>
        </is>
      </c>
      <c r="C29" s="76">
        <f>IF(1&lt;='⚙️ ПАРАМЕТРЫ'!$C$49,'⚙️ ПАРАМЕТРЫ'!$C$50,0)</f>
        <v/>
      </c>
      <c r="D29" s="76">
        <f>IF(2&lt;='⚙️ ПАРАМЕТРЫ'!$C$49,'⚙️ ПАРАМЕТРЫ'!$C$50,0)</f>
        <v/>
      </c>
      <c r="E29" s="76">
        <f>IF(3&lt;='⚙️ ПАРАМЕТРЫ'!$C$49,'⚙️ ПАРАМЕТРЫ'!$C$50,0)</f>
        <v/>
      </c>
      <c r="F29" s="76">
        <f>IF(4&lt;='⚙️ ПАРАМЕТРЫ'!$C$49,'⚙️ ПАРАМЕТРЫ'!$C$50,0)</f>
        <v/>
      </c>
      <c r="G29" s="76">
        <f>IF(5&lt;='⚙️ ПАРАМЕТРЫ'!$C$49,'⚙️ ПАРАМЕТРЫ'!$C$50,0)</f>
        <v/>
      </c>
      <c r="H29" s="76">
        <f>IF(6&lt;='⚙️ ПАРАМЕТРЫ'!$C$49,'⚙️ ПАРАМЕТРЫ'!$C$50,0)</f>
        <v/>
      </c>
      <c r="I29" s="76">
        <f>IF(7&lt;='⚙️ ПАРАМЕТРЫ'!$C$49,'⚙️ ПАРАМЕТРЫ'!$C$50,0)</f>
        <v/>
      </c>
      <c r="J29" s="76">
        <f>IF(8&lt;='⚙️ ПАРАМЕТРЫ'!$C$49,'⚙️ ПАРАМЕТРЫ'!$C$50,0)</f>
        <v/>
      </c>
      <c r="K29" s="76">
        <f>IF(9&lt;='⚙️ ПАРАМЕТРЫ'!$C$49,'⚙️ ПАРАМЕТРЫ'!$C$50,0)</f>
        <v/>
      </c>
      <c r="L29" s="76">
        <f>IF(10&lt;='⚙️ ПАРАМЕТРЫ'!$C$49,'⚙️ ПАРАМЕТРЫ'!$C$50,0)</f>
        <v/>
      </c>
      <c r="M29" s="76">
        <f>IF(11&lt;='⚙️ ПАРАМЕТРЫ'!$C$49,'⚙️ ПАРАМЕТРЫ'!$C$50,0)</f>
        <v/>
      </c>
      <c r="N29" s="76">
        <f>IF(12&lt;='⚙️ ПАРАМЕТРЫ'!$C$49,'⚙️ ПАРАМЕТРЫ'!$C$50,0)</f>
        <v/>
      </c>
      <c r="O29" s="76">
        <f>IF(13&lt;='⚙️ ПАРАМЕТРЫ'!$C$49,'⚙️ ПАРАМЕТРЫ'!$C$50,0)</f>
        <v/>
      </c>
      <c r="P29" s="76">
        <f>IF(14&lt;='⚙️ ПАРАМЕТРЫ'!$C$49,'⚙️ ПАРАМЕТРЫ'!$C$50,0)</f>
        <v/>
      </c>
      <c r="Q29" s="76">
        <f>IF(15&lt;='⚙️ ПАРАМЕТРЫ'!$C$49,'⚙️ ПАРАМЕТРЫ'!$C$50,0)</f>
        <v/>
      </c>
      <c r="R29" s="76">
        <f>IF(16&lt;='⚙️ ПАРАМЕТРЫ'!$C$49,'⚙️ ПАРАМЕТРЫ'!$C$50,0)</f>
        <v/>
      </c>
      <c r="S29" s="76">
        <f>IF(17&lt;='⚙️ ПАРАМЕТРЫ'!$C$49,'⚙️ ПАРАМЕТРЫ'!$C$50,0)</f>
        <v/>
      </c>
      <c r="T29" s="76">
        <f>IF(18&lt;='⚙️ ПАРАМЕТРЫ'!$C$49,'⚙️ ПАРАМЕТРЫ'!$C$50,0)</f>
        <v/>
      </c>
      <c r="U29" s="76">
        <f>IF(19&lt;='⚙️ ПАРАМЕТРЫ'!$C$49,'⚙️ ПАРАМЕТРЫ'!$C$50,0)</f>
        <v/>
      </c>
      <c r="V29" s="76">
        <f>IF(20&lt;='⚙️ ПАРАМЕТРЫ'!$C$49,'⚙️ ПАРАМЕТРЫ'!$C$50,0)</f>
        <v/>
      </c>
      <c r="W29" s="76">
        <f>IF(21&lt;='⚙️ ПАРАМЕТРЫ'!$C$49,'⚙️ ПАРАМЕТРЫ'!$C$50,0)</f>
        <v/>
      </c>
      <c r="X29" s="76">
        <f>IF(22&lt;='⚙️ ПАРАМЕТРЫ'!$C$49,'⚙️ ПАРАМЕТРЫ'!$C$50,0)</f>
        <v/>
      </c>
      <c r="Y29" s="76">
        <f>IF(23&lt;='⚙️ ПАРАМЕТРЫ'!$C$49,'⚙️ ПАРАМЕТРЫ'!$C$50,0)</f>
        <v/>
      </c>
      <c r="Z29" s="76">
        <f>IF(24&lt;='⚙️ ПАРАМЕТРЫ'!$C$49,'⚙️ ПАРАМЕТРЫ'!$C$50,0)</f>
        <v/>
      </c>
      <c r="AA29" s="76">
        <f>IF(25&lt;='⚙️ ПАРАМЕТРЫ'!$C$49,'⚙️ ПАРАМЕТРЫ'!$C$50,0)</f>
        <v/>
      </c>
      <c r="AB29" s="76">
        <f>IF(26&lt;='⚙️ ПАРАМЕТРЫ'!$C$49,'⚙️ ПАРАМЕТРЫ'!$C$50,0)</f>
        <v/>
      </c>
      <c r="AC29" s="76">
        <f>IF(27&lt;='⚙️ ПАРАМЕТРЫ'!$C$49,'⚙️ ПАРАМЕТРЫ'!$C$50,0)</f>
        <v/>
      </c>
      <c r="AD29" s="76">
        <f>IF(28&lt;='⚙️ ПАРАМЕТРЫ'!$C$49,'⚙️ ПАРАМЕТРЫ'!$C$50,0)</f>
        <v/>
      </c>
      <c r="AE29" s="76">
        <f>IF(29&lt;='⚙️ ПАРАМЕТРЫ'!$C$49,'⚙️ ПАРАМЕТРЫ'!$C$50,0)</f>
        <v/>
      </c>
      <c r="AF29" s="76">
        <f>IF(30&lt;='⚙️ ПАРАМЕТРЫ'!$C$49,'⚙️ ПАРАМЕТРЫ'!$C$50,0)</f>
        <v/>
      </c>
      <c r="AG29" s="76">
        <f>IF(31&lt;='⚙️ ПАРАМЕТРЫ'!$C$49,'⚙️ ПАРАМЕТРЫ'!$C$50,0)</f>
        <v/>
      </c>
      <c r="AH29" s="76">
        <f>IF(32&lt;='⚙️ ПАРАМЕТРЫ'!$C$49,'⚙️ ПАРАМЕТРЫ'!$C$50,0)</f>
        <v/>
      </c>
      <c r="AI29" s="76">
        <f>IF(33&lt;='⚙️ ПАРАМЕТРЫ'!$C$49,'⚙️ ПАРАМЕТРЫ'!$C$50,0)</f>
        <v/>
      </c>
      <c r="AJ29" s="76">
        <f>IF(34&lt;='⚙️ ПАРАМЕТРЫ'!$C$49,'⚙️ ПАРАМЕТРЫ'!$C$50,0)</f>
        <v/>
      </c>
      <c r="AK29" s="76">
        <f>IF(35&lt;='⚙️ ПАРАМЕТРЫ'!$C$49,'⚙️ ПАРАМЕТРЫ'!$C$50,0)</f>
        <v/>
      </c>
      <c r="AL29" s="76">
        <f>IF(36&lt;='⚙️ ПАРАМЕТРЫ'!$C$49,'⚙️ ПАРАМЕТРЫ'!$C$50,0)</f>
        <v/>
      </c>
    </row>
    <row r="30">
      <c r="A30" s="11" t="n"/>
      <c r="B30" s="11" t="inlineStr">
        <is>
          <t>Налог (УСН от выручки)</t>
        </is>
      </c>
      <c r="C30" s="76">
        <f>ROUND(MAX(C12,0)*'⚙️ ПАРАМЕТРЫ'!$C$9,0)</f>
        <v/>
      </c>
      <c r="D30" s="76">
        <f>ROUND(MAX(D12,0)*'⚙️ ПАРАМЕТРЫ'!$C$9,0)</f>
        <v/>
      </c>
      <c r="E30" s="76">
        <f>ROUND(MAX(E12,0)*'⚙️ ПАРАМЕТРЫ'!$C$9,0)</f>
        <v/>
      </c>
      <c r="F30" s="76">
        <f>ROUND(MAX(F12,0)*'⚙️ ПАРАМЕТРЫ'!$C$9,0)</f>
        <v/>
      </c>
      <c r="G30" s="76">
        <f>ROUND(MAX(G12,0)*'⚙️ ПАРАМЕТРЫ'!$C$9,0)</f>
        <v/>
      </c>
      <c r="H30" s="76">
        <f>ROUND(MAX(H12,0)*'⚙️ ПАРАМЕТРЫ'!$C$9,0)</f>
        <v/>
      </c>
      <c r="I30" s="76">
        <f>ROUND(MAX(I12,0)*'⚙️ ПАРАМЕТРЫ'!$C$9,0)</f>
        <v/>
      </c>
      <c r="J30" s="76">
        <f>ROUND(MAX(J12,0)*'⚙️ ПАРАМЕТРЫ'!$C$9,0)</f>
        <v/>
      </c>
      <c r="K30" s="76">
        <f>ROUND(MAX(K12,0)*'⚙️ ПАРАМЕТРЫ'!$C$9,0)</f>
        <v/>
      </c>
      <c r="L30" s="76">
        <f>ROUND(MAX(L12,0)*'⚙️ ПАРАМЕТРЫ'!$C$9,0)</f>
        <v/>
      </c>
      <c r="M30" s="76">
        <f>ROUND(MAX(M12,0)*'⚙️ ПАРАМЕТРЫ'!$C$9,0)</f>
        <v/>
      </c>
      <c r="N30" s="76">
        <f>ROUND(MAX(N12,0)*'⚙️ ПАРАМЕТРЫ'!$C$9,0)</f>
        <v/>
      </c>
      <c r="O30" s="76">
        <f>ROUND(MAX(O12,0)*'⚙️ ПАРАМЕТРЫ'!$C$9,0)</f>
        <v/>
      </c>
      <c r="P30" s="76">
        <f>ROUND(MAX(P12,0)*'⚙️ ПАРАМЕТРЫ'!$C$9,0)</f>
        <v/>
      </c>
      <c r="Q30" s="76">
        <f>ROUND(MAX(Q12,0)*'⚙️ ПАРАМЕТРЫ'!$C$9,0)</f>
        <v/>
      </c>
      <c r="R30" s="76">
        <f>ROUND(MAX(R12,0)*'⚙️ ПАРАМЕТРЫ'!$C$9,0)</f>
        <v/>
      </c>
      <c r="S30" s="76">
        <f>ROUND(MAX(S12,0)*'⚙️ ПАРАМЕТРЫ'!$C$9,0)</f>
        <v/>
      </c>
      <c r="T30" s="76">
        <f>ROUND(MAX(T12,0)*'⚙️ ПАРАМЕТРЫ'!$C$9,0)</f>
        <v/>
      </c>
      <c r="U30" s="76">
        <f>ROUND(MAX(U12,0)*'⚙️ ПАРАМЕТРЫ'!$C$9,0)</f>
        <v/>
      </c>
      <c r="V30" s="76">
        <f>ROUND(MAX(V12,0)*'⚙️ ПАРАМЕТРЫ'!$C$9,0)</f>
        <v/>
      </c>
      <c r="W30" s="76">
        <f>ROUND(MAX(W12,0)*'⚙️ ПАРАМЕТРЫ'!$C$9,0)</f>
        <v/>
      </c>
      <c r="X30" s="76">
        <f>ROUND(MAX(X12,0)*'⚙️ ПАРАМЕТРЫ'!$C$9,0)</f>
        <v/>
      </c>
      <c r="Y30" s="76">
        <f>ROUND(MAX(Y12,0)*'⚙️ ПАРАМЕТРЫ'!$C$9,0)</f>
        <v/>
      </c>
      <c r="Z30" s="76">
        <f>ROUND(MAX(Z12,0)*'⚙️ ПАРАМЕТРЫ'!$C$9,0)</f>
        <v/>
      </c>
      <c r="AA30" s="76">
        <f>ROUND(MAX(AA12,0)*'⚙️ ПАРАМЕТРЫ'!$C$9,0)</f>
        <v/>
      </c>
      <c r="AB30" s="76">
        <f>ROUND(MAX(AB12,0)*'⚙️ ПАРАМЕТРЫ'!$C$9,0)</f>
        <v/>
      </c>
      <c r="AC30" s="76">
        <f>ROUND(MAX(AC12,0)*'⚙️ ПАРАМЕТРЫ'!$C$9,0)</f>
        <v/>
      </c>
      <c r="AD30" s="76">
        <f>ROUND(MAX(AD12,0)*'⚙️ ПАРАМЕТРЫ'!$C$9,0)</f>
        <v/>
      </c>
      <c r="AE30" s="76">
        <f>ROUND(MAX(AE12,0)*'⚙️ ПАРАМЕТРЫ'!$C$9,0)</f>
        <v/>
      </c>
      <c r="AF30" s="76">
        <f>ROUND(MAX(AF12,0)*'⚙️ ПАРАМЕТРЫ'!$C$9,0)</f>
        <v/>
      </c>
      <c r="AG30" s="76">
        <f>ROUND(MAX(AG12,0)*'⚙️ ПАРАМЕТРЫ'!$C$9,0)</f>
        <v/>
      </c>
      <c r="AH30" s="76">
        <f>ROUND(MAX(AH12,0)*'⚙️ ПАРАМЕТРЫ'!$C$9,0)</f>
        <v/>
      </c>
      <c r="AI30" s="76">
        <f>ROUND(MAX(AI12,0)*'⚙️ ПАРАМЕТРЫ'!$C$9,0)</f>
        <v/>
      </c>
      <c r="AJ30" s="76">
        <f>ROUND(MAX(AJ12,0)*'⚙️ ПАРАМЕТРЫ'!$C$9,0)</f>
        <v/>
      </c>
      <c r="AK30" s="76">
        <f>ROUND(MAX(AK12,0)*'⚙️ ПАРАМЕТРЫ'!$C$9,0)</f>
        <v/>
      </c>
      <c r="AL30" s="76">
        <f>ROUND(MAX(AL12,0)*'⚙️ ПАРАМЕТРЫ'!$C$9,0)</f>
        <v/>
      </c>
    </row>
    <row r="31">
      <c r="A31" s="32" t="n"/>
      <c r="B31" s="32" t="inlineStr">
        <is>
          <t>ЧИСТАЯ ПРИБЫЛЬ</t>
        </is>
      </c>
      <c r="C31" s="77">
        <f>C28-C29-C30</f>
        <v/>
      </c>
      <c r="D31" s="77">
        <f>D28-D29-D30</f>
        <v/>
      </c>
      <c r="E31" s="77">
        <f>E28-E29-E30</f>
        <v/>
      </c>
      <c r="F31" s="77">
        <f>F28-F29-F30</f>
        <v/>
      </c>
      <c r="G31" s="77">
        <f>G28-G29-G30</f>
        <v/>
      </c>
      <c r="H31" s="77">
        <f>H28-H29-H30</f>
        <v/>
      </c>
      <c r="I31" s="77">
        <f>I28-I29-I30</f>
        <v/>
      </c>
      <c r="J31" s="77">
        <f>J28-J29-J30</f>
        <v/>
      </c>
      <c r="K31" s="77">
        <f>K28-K29-K30</f>
        <v/>
      </c>
      <c r="L31" s="77">
        <f>L28-L29-L30</f>
        <v/>
      </c>
      <c r="M31" s="77">
        <f>M28-M29-M30</f>
        <v/>
      </c>
      <c r="N31" s="77">
        <f>N28-N29-N30</f>
        <v/>
      </c>
      <c r="O31" s="77">
        <f>O28-O29-O30</f>
        <v/>
      </c>
      <c r="P31" s="77">
        <f>P28-P29-P30</f>
        <v/>
      </c>
      <c r="Q31" s="77">
        <f>Q28-Q29-Q30</f>
        <v/>
      </c>
      <c r="R31" s="77">
        <f>R28-R29-R30</f>
        <v/>
      </c>
      <c r="S31" s="77">
        <f>S28-S29-S30</f>
        <v/>
      </c>
      <c r="T31" s="77">
        <f>T28-T29-T30</f>
        <v/>
      </c>
      <c r="U31" s="77">
        <f>U28-U29-U30</f>
        <v/>
      </c>
      <c r="V31" s="77">
        <f>V28-V29-V30</f>
        <v/>
      </c>
      <c r="W31" s="77">
        <f>W28-W29-W30</f>
        <v/>
      </c>
      <c r="X31" s="77">
        <f>X28-X29-X30</f>
        <v/>
      </c>
      <c r="Y31" s="77">
        <f>Y28-Y29-Y30</f>
        <v/>
      </c>
      <c r="Z31" s="77">
        <f>Z28-Z29-Z30</f>
        <v/>
      </c>
      <c r="AA31" s="77">
        <f>AA28-AA29-AA30</f>
        <v/>
      </c>
      <c r="AB31" s="77">
        <f>AB28-AB29-AB30</f>
        <v/>
      </c>
      <c r="AC31" s="77">
        <f>AC28-AC29-AC30</f>
        <v/>
      </c>
      <c r="AD31" s="77">
        <f>AD28-AD29-AD30</f>
        <v/>
      </c>
      <c r="AE31" s="77">
        <f>AE28-AE29-AE30</f>
        <v/>
      </c>
      <c r="AF31" s="77">
        <f>AF28-AF29-AF30</f>
        <v/>
      </c>
      <c r="AG31" s="77">
        <f>AG28-AG29-AG30</f>
        <v/>
      </c>
      <c r="AH31" s="77">
        <f>AH28-AH29-AH30</f>
        <v/>
      </c>
      <c r="AI31" s="77">
        <f>AI28-AI29-AI30</f>
        <v/>
      </c>
      <c r="AJ31" s="77">
        <f>AJ28-AJ29-AJ30</f>
        <v/>
      </c>
      <c r="AK31" s="77">
        <f>AK28-AK29-AK30</f>
        <v/>
      </c>
      <c r="AL31" s="77">
        <f>AL28-AL29-AL30</f>
        <v/>
      </c>
    </row>
    <row r="32">
      <c r="A32" s="11" t="n"/>
      <c r="B32" s="11" t="inlineStr">
        <is>
          <t>Рентабельность</t>
        </is>
      </c>
      <c r="C32" s="34">
        <f>IFERROR(C31/C12,0)</f>
        <v/>
      </c>
      <c r="D32" s="34">
        <f>IFERROR(D31/D12,0)</f>
        <v/>
      </c>
      <c r="E32" s="34">
        <f>IFERROR(E31/E12,0)</f>
        <v/>
      </c>
      <c r="F32" s="34">
        <f>IFERROR(F31/F12,0)</f>
        <v/>
      </c>
      <c r="G32" s="34">
        <f>IFERROR(G31/G12,0)</f>
        <v/>
      </c>
      <c r="H32" s="34">
        <f>IFERROR(H31/H12,0)</f>
        <v/>
      </c>
      <c r="I32" s="34">
        <f>IFERROR(I31/I12,0)</f>
        <v/>
      </c>
      <c r="J32" s="34">
        <f>IFERROR(J31/J12,0)</f>
        <v/>
      </c>
      <c r="K32" s="34">
        <f>IFERROR(K31/K12,0)</f>
        <v/>
      </c>
      <c r="L32" s="34">
        <f>IFERROR(L31/L12,0)</f>
        <v/>
      </c>
      <c r="M32" s="34">
        <f>IFERROR(M31/M12,0)</f>
        <v/>
      </c>
      <c r="N32" s="34">
        <f>IFERROR(N31/N12,0)</f>
        <v/>
      </c>
      <c r="O32" s="34">
        <f>IFERROR(O31/O12,0)</f>
        <v/>
      </c>
      <c r="P32" s="34">
        <f>IFERROR(P31/P12,0)</f>
        <v/>
      </c>
      <c r="Q32" s="34">
        <f>IFERROR(Q31/Q12,0)</f>
        <v/>
      </c>
      <c r="R32" s="34">
        <f>IFERROR(R31/R12,0)</f>
        <v/>
      </c>
      <c r="S32" s="34">
        <f>IFERROR(S31/S12,0)</f>
        <v/>
      </c>
      <c r="T32" s="34">
        <f>IFERROR(T31/T12,0)</f>
        <v/>
      </c>
      <c r="U32" s="34">
        <f>IFERROR(U31/U12,0)</f>
        <v/>
      </c>
      <c r="V32" s="34">
        <f>IFERROR(V31/V12,0)</f>
        <v/>
      </c>
      <c r="W32" s="34">
        <f>IFERROR(W31/W12,0)</f>
        <v/>
      </c>
      <c r="X32" s="34">
        <f>IFERROR(X31/X12,0)</f>
        <v/>
      </c>
      <c r="Y32" s="34">
        <f>IFERROR(Y31/Y12,0)</f>
        <v/>
      </c>
      <c r="Z32" s="34">
        <f>IFERROR(Z31/Z12,0)</f>
        <v/>
      </c>
      <c r="AA32" s="34">
        <f>IFERROR(AA31/AA12,0)</f>
        <v/>
      </c>
      <c r="AB32" s="34">
        <f>IFERROR(AB31/AB12,0)</f>
        <v/>
      </c>
      <c r="AC32" s="34">
        <f>IFERROR(AC31/AC12,0)</f>
        <v/>
      </c>
      <c r="AD32" s="34">
        <f>IFERROR(AD31/AD12,0)</f>
        <v/>
      </c>
      <c r="AE32" s="34">
        <f>IFERROR(AE31/AE12,0)</f>
        <v/>
      </c>
      <c r="AF32" s="34">
        <f>IFERROR(AF31/AF12,0)</f>
        <v/>
      </c>
      <c r="AG32" s="34">
        <f>IFERROR(AG31/AG12,0)</f>
        <v/>
      </c>
      <c r="AH32" s="34">
        <f>IFERROR(AH31/AH12,0)</f>
        <v/>
      </c>
      <c r="AI32" s="34">
        <f>IFERROR(AI31/AI12,0)</f>
        <v/>
      </c>
      <c r="AJ32" s="34">
        <f>IFERROR(AJ31/AJ12,0)</f>
        <v/>
      </c>
      <c r="AK32" s="34">
        <f>IFERROR(AK31/AK12,0)</f>
        <v/>
      </c>
      <c r="AL32" s="34">
        <f>IFERROR(AL31/AL12,0)</f>
        <v/>
      </c>
    </row>
    <row r="34" ht="15" customHeight="1">
      <c r="B34" s="8" t="inlineStr">
        <is>
          <t>💡 ZEREK | Все формулы динамические — при изменении ПАРАМЕТРОВ P&amp;L пересчитывается автоматически | 04.04.2026</t>
        </is>
      </c>
    </row>
  </sheetData>
  <mergeCells count="6">
    <mergeCell ref="B13:AL13"/>
    <mergeCell ref="B7:AL7"/>
    <mergeCell ref="B34:AL34"/>
    <mergeCell ref="A1:AL1"/>
    <mergeCell ref="B17:AL17"/>
    <mergeCell ref="A2:AL2"/>
  </mergeCells>
  <conditionalFormatting sqref="C31:AL31">
    <cfRule type="colorScale" priority="2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C32:AL32">
    <cfRule type="colorScale" priority="3">
      <colorScale>
        <cfvo type="min"/>
        <cfvo type="num" val="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0D47A1"/>
    <outlinePr summaryBelow="1" summaryRight="1"/>
    <pageSetUpPr/>
  </sheetPr>
  <dimension ref="A1:AL12"/>
  <sheetViews>
    <sheetView zoomScaleNormal="100" workbookViewId="0">
      <selection activeCell="E7" sqref="E7"/>
    </sheetView>
  </sheetViews>
  <sheetFormatPr baseColWidth="8" defaultColWidth="8.6640625" defaultRowHeight="14.4"/>
  <cols>
    <col width="1.77734375" customWidth="1" min="1" max="1"/>
    <col width="13" customWidth="1" min="2" max="39"/>
  </cols>
  <sheetData>
    <row r="1" ht="27.75" customHeight="1">
      <c r="A1" s="64">
        <f>"ДВИЖЕНИЕ ДЕНЕЖНЫХ СРЕДСТВ — "&amp;UPPER('⚙️ ПАРАМЕТРЫ'!C5)&amp;" ("&amp;'⚙️ ПАРАМЕТРЫ'!C6&amp;")"</f>
        <v/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6" t="n"/>
    </row>
    <row r="2" ht="15" customHeight="1">
      <c r="A2" s="8" t="inlineStr">
        <is>
          <t>📌 М0 = месяц инвестиций. М1-М36 = операционная деятельность.</t>
        </is>
      </c>
    </row>
    <row r="3">
      <c r="A3" s="10" t="n"/>
      <c r="B3" s="10" t="inlineStr">
        <is>
          <t>М0</t>
        </is>
      </c>
      <c r="C3" s="10" t="inlineStr">
        <is>
          <t>М1</t>
        </is>
      </c>
      <c r="D3" s="10" t="inlineStr">
        <is>
          <t>М2</t>
        </is>
      </c>
      <c r="E3" s="10" t="inlineStr">
        <is>
          <t>М3</t>
        </is>
      </c>
      <c r="F3" s="10" t="inlineStr">
        <is>
          <t>М4</t>
        </is>
      </c>
      <c r="G3" s="10" t="inlineStr">
        <is>
          <t>М5</t>
        </is>
      </c>
      <c r="H3" s="10" t="inlineStr">
        <is>
          <t>М6</t>
        </is>
      </c>
      <c r="I3" s="10" t="inlineStr">
        <is>
          <t>М7</t>
        </is>
      </c>
      <c r="J3" s="10" t="inlineStr">
        <is>
          <t>М8</t>
        </is>
      </c>
      <c r="K3" s="10" t="inlineStr">
        <is>
          <t>М9</t>
        </is>
      </c>
      <c r="L3" s="10" t="inlineStr">
        <is>
          <t>М10</t>
        </is>
      </c>
      <c r="M3" s="10" t="inlineStr">
        <is>
          <t>М11</t>
        </is>
      </c>
      <c r="N3" s="10" t="inlineStr">
        <is>
          <t>М12</t>
        </is>
      </c>
      <c r="O3" s="10" t="inlineStr">
        <is>
          <t>М13</t>
        </is>
      </c>
      <c r="P3" s="10" t="inlineStr">
        <is>
          <t>М14</t>
        </is>
      </c>
      <c r="Q3" s="10" t="inlineStr">
        <is>
          <t>М15</t>
        </is>
      </c>
      <c r="R3" s="10" t="inlineStr">
        <is>
          <t>М16</t>
        </is>
      </c>
      <c r="S3" s="10" t="inlineStr">
        <is>
          <t>М17</t>
        </is>
      </c>
      <c r="T3" s="10" t="inlineStr">
        <is>
          <t>М18</t>
        </is>
      </c>
      <c r="U3" s="10" t="inlineStr">
        <is>
          <t>М19</t>
        </is>
      </c>
      <c r="V3" s="10" t="inlineStr">
        <is>
          <t>М20</t>
        </is>
      </c>
      <c r="W3" s="10" t="inlineStr">
        <is>
          <t>М21</t>
        </is>
      </c>
      <c r="X3" s="10" t="inlineStr">
        <is>
          <t>М22</t>
        </is>
      </c>
      <c r="Y3" s="10" t="inlineStr">
        <is>
          <t>М23</t>
        </is>
      </c>
      <c r="Z3" s="10" t="inlineStr">
        <is>
          <t>М24</t>
        </is>
      </c>
      <c r="AA3" s="10" t="inlineStr">
        <is>
          <t>М25</t>
        </is>
      </c>
      <c r="AB3" s="10" t="inlineStr">
        <is>
          <t>М26</t>
        </is>
      </c>
      <c r="AC3" s="10" t="inlineStr">
        <is>
          <t>М27</t>
        </is>
      </c>
      <c r="AD3" s="10" t="inlineStr">
        <is>
          <t>М28</t>
        </is>
      </c>
      <c r="AE3" s="10" t="inlineStr">
        <is>
          <t>М29</t>
        </is>
      </c>
      <c r="AF3" s="10" t="inlineStr">
        <is>
          <t>М30</t>
        </is>
      </c>
      <c r="AG3" s="10" t="inlineStr">
        <is>
          <t>М31</t>
        </is>
      </c>
      <c r="AH3" s="10" t="inlineStr">
        <is>
          <t>М32</t>
        </is>
      </c>
      <c r="AI3" s="10" t="inlineStr">
        <is>
          <t>М33</t>
        </is>
      </c>
      <c r="AJ3" s="10" t="inlineStr">
        <is>
          <t>М34</t>
        </is>
      </c>
      <c r="AK3" s="10" t="inlineStr">
        <is>
          <t>М35</t>
        </is>
      </c>
      <c r="AL3" s="10" t="inlineStr">
        <is>
          <t>М36</t>
        </is>
      </c>
    </row>
    <row r="4">
      <c r="A4" s="78" t="n"/>
      <c r="B4" s="78">
        <f>-'⚙️ ПАРАМЕТРЫ'!C42</f>
        <v/>
      </c>
    </row>
    <row r="5">
      <c r="A5" s="11" t="n"/>
      <c r="B5" s="11" t="inlineStr">
        <is>
          <t>Кредит получен</t>
        </is>
      </c>
      <c r="C5" s="79">
        <f>'⚙️ ПАРАМЕТРЫ'!C47</f>
        <v/>
      </c>
    </row>
    <row r="7" ht="24" customHeight="1">
      <c r="A7" s="11" t="n"/>
      <c r="B7" s="11" t="inlineStr">
        <is>
          <t>Операционный CF</t>
        </is>
      </c>
      <c r="C7" s="76">
        <f>'📈 P&amp;L'!C31+'📈 P&amp;L'!C27</f>
        <v/>
      </c>
      <c r="D7" s="76">
        <f>'📈 P&amp;L'!D31+'📈 P&amp;L'!D27</f>
        <v/>
      </c>
      <c r="E7" s="76">
        <f>'📈 P&amp;L'!E31+'📈 P&amp;L'!E27</f>
        <v/>
      </c>
      <c r="F7" s="76">
        <f>'📈 P&amp;L'!F31+'📈 P&amp;L'!F27</f>
        <v/>
      </c>
      <c r="G7" s="76">
        <f>'📈 P&amp;L'!G31+'📈 P&amp;L'!G27</f>
        <v/>
      </c>
      <c r="H7" s="76">
        <f>'📈 P&amp;L'!H31+'📈 P&amp;L'!H27</f>
        <v/>
      </c>
      <c r="I7" s="76">
        <f>'📈 P&amp;L'!I31+'📈 P&amp;L'!I27</f>
        <v/>
      </c>
      <c r="J7" s="76">
        <f>'📈 P&amp;L'!J31+'📈 P&amp;L'!J27</f>
        <v/>
      </c>
      <c r="K7" s="76">
        <f>'📈 P&amp;L'!K31+'📈 P&amp;L'!K27</f>
        <v/>
      </c>
      <c r="L7" s="76">
        <f>'📈 P&amp;L'!L31+'📈 P&amp;L'!L27</f>
        <v/>
      </c>
      <c r="M7" s="76">
        <f>'📈 P&amp;L'!M31+'📈 P&amp;L'!M27</f>
        <v/>
      </c>
      <c r="N7" s="76">
        <f>'📈 P&amp;L'!N31+'📈 P&amp;L'!N27</f>
        <v/>
      </c>
      <c r="O7" s="76">
        <f>'📈 P&amp;L'!O31+'📈 P&amp;L'!O27</f>
        <v/>
      </c>
      <c r="P7" s="76">
        <f>'📈 P&amp;L'!P31+'📈 P&amp;L'!P27</f>
        <v/>
      </c>
      <c r="Q7" s="76">
        <f>'📈 P&amp;L'!Q31+'📈 P&amp;L'!Q27</f>
        <v/>
      </c>
      <c r="R7" s="76">
        <f>'📈 P&amp;L'!R31+'📈 P&amp;L'!R27</f>
        <v/>
      </c>
      <c r="S7" s="76">
        <f>'📈 P&amp;L'!S31+'📈 P&amp;L'!S27</f>
        <v/>
      </c>
      <c r="T7" s="76">
        <f>'📈 P&amp;L'!T31+'📈 P&amp;L'!T27</f>
        <v/>
      </c>
      <c r="U7" s="76">
        <f>'📈 P&amp;L'!U31+'📈 P&amp;L'!U27</f>
        <v/>
      </c>
      <c r="V7" s="76">
        <f>'📈 P&amp;L'!V31+'📈 P&amp;L'!V27</f>
        <v/>
      </c>
      <c r="W7" s="76">
        <f>'📈 P&amp;L'!W31+'📈 P&amp;L'!W27</f>
        <v/>
      </c>
      <c r="X7" s="76">
        <f>'📈 P&amp;L'!X31+'📈 P&amp;L'!X27</f>
        <v/>
      </c>
      <c r="Y7" s="76">
        <f>'📈 P&amp;L'!Y31+'📈 P&amp;L'!Y27</f>
        <v/>
      </c>
      <c r="Z7" s="76">
        <f>'📈 P&amp;L'!Z31+'📈 P&amp;L'!Z27</f>
        <v/>
      </c>
      <c r="AA7" s="76">
        <f>'📈 P&amp;L'!AA31+'📈 P&amp;L'!AA27</f>
        <v/>
      </c>
      <c r="AB7" s="76">
        <f>'📈 P&amp;L'!AB31+'📈 P&amp;L'!AB27</f>
        <v/>
      </c>
      <c r="AC7" s="76">
        <f>'📈 P&amp;L'!AC31+'📈 P&amp;L'!AC27</f>
        <v/>
      </c>
      <c r="AD7" s="76">
        <f>'📈 P&amp;L'!AD31+'📈 P&amp;L'!AD27</f>
        <v/>
      </c>
      <c r="AE7" s="76">
        <f>'📈 P&amp;L'!AE31+'📈 P&amp;L'!AE27</f>
        <v/>
      </c>
      <c r="AF7" s="76">
        <f>'📈 P&amp;L'!AF31+'📈 P&amp;L'!AF27</f>
        <v/>
      </c>
      <c r="AG7" s="76">
        <f>'📈 P&amp;L'!AG31+'📈 P&amp;L'!AG27</f>
        <v/>
      </c>
      <c r="AH7" s="76">
        <f>'📈 P&amp;L'!AH31+'📈 P&amp;L'!AH27</f>
        <v/>
      </c>
      <c r="AI7" s="76">
        <f>'📈 P&amp;L'!AI31+'📈 P&amp;L'!AI27</f>
        <v/>
      </c>
      <c r="AJ7" s="76">
        <f>'📈 P&amp;L'!AJ31+'📈 P&amp;L'!AJ27</f>
        <v/>
      </c>
      <c r="AK7" s="76">
        <f>'📈 P&amp;L'!AK31+'📈 P&amp;L'!AK27</f>
        <v/>
      </c>
      <c r="AL7" s="76">
        <f>'📈 P&amp;L'!AL31+'📈 P&amp;L'!AL27</f>
        <v/>
      </c>
    </row>
    <row r="8" ht="24" customHeight="1">
      <c r="A8" s="11" t="n"/>
      <c r="B8" s="11" t="inlineStr">
        <is>
          <t>Погашение кредита</t>
        </is>
      </c>
      <c r="C8" s="76">
        <f>IF(1&lt;='⚙️ ПАРАМЕТРЫ'!$C$49,'⚙️ ПАРАМЕТРЫ'!$C$50,0)</f>
        <v/>
      </c>
      <c r="D8" s="76">
        <f>IF(2&lt;='⚙️ ПАРАМЕТРЫ'!$C$49,'⚙️ ПАРАМЕТРЫ'!$C$50,0)</f>
        <v/>
      </c>
      <c r="E8" s="76">
        <f>IF(3&lt;='⚙️ ПАРАМЕТРЫ'!$C$49,'⚙️ ПАРАМЕТРЫ'!$C$50,0)</f>
        <v/>
      </c>
      <c r="F8" s="76">
        <f>IF(4&lt;='⚙️ ПАРАМЕТРЫ'!$C$49,'⚙️ ПАРАМЕТРЫ'!$C$50,0)</f>
        <v/>
      </c>
      <c r="G8" s="76">
        <f>IF(5&lt;='⚙️ ПАРАМЕТРЫ'!$C$49,'⚙️ ПАРАМЕТРЫ'!$C$50,0)</f>
        <v/>
      </c>
      <c r="H8" s="76">
        <f>IF(6&lt;='⚙️ ПАРАМЕТРЫ'!$C$49,'⚙️ ПАРАМЕТРЫ'!$C$50,0)</f>
        <v/>
      </c>
      <c r="I8" s="76">
        <f>IF(7&lt;='⚙️ ПАРАМЕТРЫ'!$C$49,'⚙️ ПАРАМЕТРЫ'!$C$50,0)</f>
        <v/>
      </c>
      <c r="J8" s="76">
        <f>IF(8&lt;='⚙️ ПАРАМЕТРЫ'!$C$49,'⚙️ ПАРАМЕТРЫ'!$C$50,0)</f>
        <v/>
      </c>
      <c r="K8" s="76">
        <f>IF(9&lt;='⚙️ ПАРАМЕТРЫ'!$C$49,'⚙️ ПАРАМЕТРЫ'!$C$50,0)</f>
        <v/>
      </c>
      <c r="L8" s="76">
        <f>IF(10&lt;='⚙️ ПАРАМЕТРЫ'!$C$49,'⚙️ ПАРАМЕТРЫ'!$C$50,0)</f>
        <v/>
      </c>
      <c r="M8" s="76">
        <f>IF(11&lt;='⚙️ ПАРАМЕТРЫ'!$C$49,'⚙️ ПАРАМЕТРЫ'!$C$50,0)</f>
        <v/>
      </c>
      <c r="N8" s="76">
        <f>IF(12&lt;='⚙️ ПАРАМЕТРЫ'!$C$49,'⚙️ ПАРАМЕТРЫ'!$C$50,0)</f>
        <v/>
      </c>
      <c r="O8" s="76">
        <f>IF(13&lt;='⚙️ ПАРАМЕТРЫ'!$C$49,'⚙️ ПАРАМЕТРЫ'!$C$50,0)</f>
        <v/>
      </c>
      <c r="P8" s="76">
        <f>IF(14&lt;='⚙️ ПАРАМЕТРЫ'!$C$49,'⚙️ ПАРАМЕТРЫ'!$C$50,0)</f>
        <v/>
      </c>
      <c r="Q8" s="76">
        <f>IF(15&lt;='⚙️ ПАРАМЕТРЫ'!$C$49,'⚙️ ПАРАМЕТРЫ'!$C$50,0)</f>
        <v/>
      </c>
      <c r="R8" s="76">
        <f>IF(16&lt;='⚙️ ПАРАМЕТРЫ'!$C$49,'⚙️ ПАРАМЕТРЫ'!$C$50,0)</f>
        <v/>
      </c>
      <c r="S8" s="76">
        <f>IF(17&lt;='⚙️ ПАРАМЕТРЫ'!$C$49,'⚙️ ПАРАМЕТРЫ'!$C$50,0)</f>
        <v/>
      </c>
      <c r="T8" s="76">
        <f>IF(18&lt;='⚙️ ПАРАМЕТРЫ'!$C$49,'⚙️ ПАРАМЕТРЫ'!$C$50,0)</f>
        <v/>
      </c>
      <c r="U8" s="76">
        <f>IF(19&lt;='⚙️ ПАРАМЕТРЫ'!$C$49,'⚙️ ПАРАМЕТРЫ'!$C$50,0)</f>
        <v/>
      </c>
      <c r="V8" s="76">
        <f>IF(20&lt;='⚙️ ПАРАМЕТРЫ'!$C$49,'⚙️ ПАРАМЕТРЫ'!$C$50,0)</f>
        <v/>
      </c>
      <c r="W8" s="76">
        <f>IF(21&lt;='⚙️ ПАРАМЕТРЫ'!$C$49,'⚙️ ПАРАМЕТРЫ'!$C$50,0)</f>
        <v/>
      </c>
      <c r="X8" s="76">
        <f>IF(22&lt;='⚙️ ПАРАМЕТРЫ'!$C$49,'⚙️ ПАРАМЕТРЫ'!$C$50,0)</f>
        <v/>
      </c>
      <c r="Y8" s="76">
        <f>IF(23&lt;='⚙️ ПАРАМЕТРЫ'!$C$49,'⚙️ ПАРАМЕТРЫ'!$C$50,0)</f>
        <v/>
      </c>
      <c r="Z8" s="76">
        <f>IF(24&lt;='⚙️ ПАРАМЕТРЫ'!$C$49,'⚙️ ПАРАМЕТРЫ'!$C$50,0)</f>
        <v/>
      </c>
      <c r="AA8" s="76">
        <f>IF(25&lt;='⚙️ ПАРАМЕТРЫ'!$C$49,'⚙️ ПАРАМЕТРЫ'!$C$50,0)</f>
        <v/>
      </c>
      <c r="AB8" s="76">
        <f>IF(26&lt;='⚙️ ПАРАМЕТРЫ'!$C$49,'⚙️ ПАРАМЕТРЫ'!$C$50,0)</f>
        <v/>
      </c>
      <c r="AC8" s="76">
        <f>IF(27&lt;='⚙️ ПАРАМЕТРЫ'!$C$49,'⚙️ ПАРАМЕТРЫ'!$C$50,0)</f>
        <v/>
      </c>
      <c r="AD8" s="76">
        <f>IF(28&lt;='⚙️ ПАРАМЕТРЫ'!$C$49,'⚙️ ПАРАМЕТРЫ'!$C$50,0)</f>
        <v/>
      </c>
      <c r="AE8" s="76">
        <f>IF(29&lt;='⚙️ ПАРАМЕТРЫ'!$C$49,'⚙️ ПАРАМЕТРЫ'!$C$50,0)</f>
        <v/>
      </c>
      <c r="AF8" s="76">
        <f>IF(30&lt;='⚙️ ПАРАМЕТРЫ'!$C$49,'⚙️ ПАРАМЕТРЫ'!$C$50,0)</f>
        <v/>
      </c>
      <c r="AG8" s="76">
        <f>IF(31&lt;='⚙️ ПАРАМЕТРЫ'!$C$49,'⚙️ ПАРАМЕТРЫ'!$C$50,0)</f>
        <v/>
      </c>
      <c r="AH8" s="76">
        <f>IF(32&lt;='⚙️ ПАРАМЕТРЫ'!$C$49,'⚙️ ПАРАМЕТРЫ'!$C$50,0)</f>
        <v/>
      </c>
      <c r="AI8" s="76">
        <f>IF(33&lt;='⚙️ ПАРАМЕТРЫ'!$C$49,'⚙️ ПАРАМЕТРЫ'!$C$50,0)</f>
        <v/>
      </c>
      <c r="AJ8" s="76">
        <f>IF(34&lt;='⚙️ ПАРАМЕТРЫ'!$C$49,'⚙️ ПАРАМЕТРЫ'!$C$50,0)</f>
        <v/>
      </c>
      <c r="AK8" s="76">
        <f>IF(35&lt;='⚙️ ПАРАМЕТРЫ'!$C$49,'⚙️ ПАРАМЕТРЫ'!$C$50,0)</f>
        <v/>
      </c>
      <c r="AL8" s="76">
        <f>IF(36&lt;='⚙️ ПАРАМЕТРЫ'!$C$49,'⚙️ ПАРАМЕТРЫ'!$C$50,0)</f>
        <v/>
      </c>
    </row>
    <row r="9">
      <c r="A9" s="80" t="n"/>
      <c r="B9" s="80">
        <f>-'⚙️ ПАРАМЕТРЫ'!C42+'⚙️ ПАРАМЕТРЫ'!C47</f>
        <v/>
      </c>
      <c r="C9" s="80">
        <f>C7-C8</f>
        <v/>
      </c>
      <c r="D9" s="80">
        <f>D7-D8</f>
        <v/>
      </c>
      <c r="E9" s="80">
        <f>E7-E8</f>
        <v/>
      </c>
      <c r="F9" s="80">
        <f>F7-F8</f>
        <v/>
      </c>
      <c r="G9" s="80">
        <f>G7-G8</f>
        <v/>
      </c>
      <c r="H9" s="80">
        <f>H7-H8</f>
        <v/>
      </c>
      <c r="I9" s="80">
        <f>I7-I8</f>
        <v/>
      </c>
      <c r="J9" s="80">
        <f>J7-J8</f>
        <v/>
      </c>
      <c r="K9" s="80">
        <f>K7-K8</f>
        <v/>
      </c>
      <c r="L9" s="80">
        <f>L7-L8</f>
        <v/>
      </c>
      <c r="M9" s="80">
        <f>M7-M8</f>
        <v/>
      </c>
      <c r="N9" s="80">
        <f>N7-N8</f>
        <v/>
      </c>
      <c r="O9" s="80">
        <f>O7-O8</f>
        <v/>
      </c>
      <c r="P9" s="80">
        <f>P7-P8</f>
        <v/>
      </c>
      <c r="Q9" s="80">
        <f>Q7-Q8</f>
        <v/>
      </c>
      <c r="R9" s="80">
        <f>R7-R8</f>
        <v/>
      </c>
      <c r="S9" s="80">
        <f>S7-S8</f>
        <v/>
      </c>
      <c r="T9" s="80">
        <f>T7-T8</f>
        <v/>
      </c>
      <c r="U9" s="80">
        <f>U7-U8</f>
        <v/>
      </c>
      <c r="V9" s="80">
        <f>V7-V8</f>
        <v/>
      </c>
      <c r="W9" s="80">
        <f>W7-W8</f>
        <v/>
      </c>
      <c r="X9" s="80">
        <f>X7-X8</f>
        <v/>
      </c>
      <c r="Y9" s="80">
        <f>Y7-Y8</f>
        <v/>
      </c>
      <c r="Z9" s="80">
        <f>Z7-Z8</f>
        <v/>
      </c>
      <c r="AA9" s="80">
        <f>AA7-AA8</f>
        <v/>
      </c>
      <c r="AB9" s="80">
        <f>AB7-AB8</f>
        <v/>
      </c>
      <c r="AC9" s="80">
        <f>AC7-AC8</f>
        <v/>
      </c>
      <c r="AD9" s="80">
        <f>AD7-AD8</f>
        <v/>
      </c>
      <c r="AE9" s="80">
        <f>AE7-AE8</f>
        <v/>
      </c>
      <c r="AF9" s="80">
        <f>AF7-AF8</f>
        <v/>
      </c>
      <c r="AG9" s="80">
        <f>AG7-AG8</f>
        <v/>
      </c>
      <c r="AH9" s="80">
        <f>AH7-AH8</f>
        <v/>
      </c>
      <c r="AI9" s="80">
        <f>AI7-AI8</f>
        <v/>
      </c>
      <c r="AJ9" s="80">
        <f>AJ7-AJ8</f>
        <v/>
      </c>
      <c r="AK9" s="80">
        <f>AK7-AK8</f>
        <v/>
      </c>
      <c r="AL9" s="80">
        <f>AL7-AL8</f>
        <v/>
      </c>
    </row>
    <row r="10">
      <c r="A10" s="80" t="n"/>
      <c r="B10" s="80">
        <f>B9</f>
        <v/>
      </c>
      <c r="C10" s="80">
        <f>B10+C9</f>
        <v/>
      </c>
      <c r="D10" s="80">
        <f>C10+D9</f>
        <v/>
      </c>
      <c r="E10" s="80">
        <f>D10+E9</f>
        <v/>
      </c>
      <c r="F10" s="80">
        <f>E10+F9</f>
        <v/>
      </c>
      <c r="G10" s="80">
        <f>F10+G9</f>
        <v/>
      </c>
      <c r="H10" s="80">
        <f>G10+H9</f>
        <v/>
      </c>
      <c r="I10" s="80">
        <f>H10+I9</f>
        <v/>
      </c>
      <c r="J10" s="80">
        <f>I10+J9</f>
        <v/>
      </c>
      <c r="K10" s="80">
        <f>J10+K9</f>
        <v/>
      </c>
      <c r="L10" s="80">
        <f>K10+L9</f>
        <v/>
      </c>
      <c r="M10" s="80">
        <f>L10+M9</f>
        <v/>
      </c>
      <c r="N10" s="80">
        <f>M10+N9</f>
        <v/>
      </c>
      <c r="O10" s="80">
        <f>N10+O9</f>
        <v/>
      </c>
      <c r="P10" s="80">
        <f>O10+P9</f>
        <v/>
      </c>
      <c r="Q10" s="80">
        <f>P10+Q9</f>
        <v/>
      </c>
      <c r="R10" s="80">
        <f>Q10+R9</f>
        <v/>
      </c>
      <c r="S10" s="80">
        <f>R10+S9</f>
        <v/>
      </c>
      <c r="T10" s="80">
        <f>S10+T9</f>
        <v/>
      </c>
      <c r="U10" s="80">
        <f>T10+U9</f>
        <v/>
      </c>
      <c r="V10" s="80">
        <f>U10+V9</f>
        <v/>
      </c>
      <c r="W10" s="80">
        <f>V10+W9</f>
        <v/>
      </c>
      <c r="X10" s="80">
        <f>W10+X9</f>
        <v/>
      </c>
      <c r="Y10" s="80">
        <f>X10+Y9</f>
        <v/>
      </c>
      <c r="Z10" s="80">
        <f>Y10+Z9</f>
        <v/>
      </c>
      <c r="AA10" s="80">
        <f>Z10+AA9</f>
        <v/>
      </c>
      <c r="AB10" s="80">
        <f>AA10+AB9</f>
        <v/>
      </c>
      <c r="AC10" s="80">
        <f>AB10+AC9</f>
        <v/>
      </c>
      <c r="AD10" s="80">
        <f>AC10+AD9</f>
        <v/>
      </c>
      <c r="AE10" s="80">
        <f>AD10+AE9</f>
        <v/>
      </c>
      <c r="AF10" s="80">
        <f>AE10+AF9</f>
        <v/>
      </c>
      <c r="AG10" s="80">
        <f>AF10+AG9</f>
        <v/>
      </c>
      <c r="AH10" s="80">
        <f>AG10+AH9</f>
        <v/>
      </c>
      <c r="AI10" s="80">
        <f>AH10+AI9</f>
        <v/>
      </c>
      <c r="AJ10" s="80">
        <f>AI10+AJ9</f>
        <v/>
      </c>
      <c r="AK10" s="80">
        <f>AJ10+AK9</f>
        <v/>
      </c>
      <c r="AL10" s="80">
        <f>AK10+AL9</f>
        <v/>
      </c>
    </row>
    <row r="12" ht="15" customHeight="1">
      <c r="B12" s="8" t="inlineStr">
        <is>
          <t>💡 ZEREK | Нарастающий итог показывает когда накопленный CF станет положительным = точка окупаемости | 04.04.2026</t>
        </is>
      </c>
    </row>
  </sheetData>
  <mergeCells count="3">
    <mergeCell ref="B12:AL12"/>
    <mergeCell ref="A1:AL1"/>
    <mergeCell ref="A2:AL2"/>
  </mergeCells>
  <conditionalFormatting sqref="B10:AL10">
    <cfRule type="colorScale" priority="3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A10">
    <cfRule type="colorScale" priority="1">
      <colorScale>
        <cfvo type="min"/>
        <cfvo type="num" val="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N11"/>
  <sheetViews>
    <sheetView zoomScaleNormal="100" workbookViewId="0">
      <selection activeCell="D12" sqref="D12"/>
    </sheetView>
  </sheetViews>
  <sheetFormatPr baseColWidth="8" defaultColWidth="8.6640625" defaultRowHeight="14.4"/>
  <cols>
    <col width="1.5546875" customWidth="1" min="1" max="1"/>
    <col width="30" customWidth="1" min="2" max="2"/>
    <col width="16" customWidth="1" min="3" max="14"/>
  </cols>
  <sheetData>
    <row r="1" ht="27.75" customHeight="1">
      <c r="A1" s="64">
        <f>"БАЛАНС (упрощённый) — "&amp;UPPER('⚙️ ПАРАМЕТРЫ'!C5)</f>
        <v/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6" t="n"/>
    </row>
    <row r="2" ht="15" customHeight="1">
      <c r="A2" s="8" t="inlineStr">
        <is>
          <t>📌 Поквартальный упрощённый баланс. Для МСБ детальный баланс редко нужен — это обзорная версия.</t>
        </is>
      </c>
    </row>
    <row r="3">
      <c r="A3" s="10" t="n"/>
      <c r="B3" s="10" t="inlineStr">
        <is>
          <t>Квартал</t>
        </is>
      </c>
      <c r="C3" s="10" t="inlineStr">
        <is>
          <t>Q1</t>
        </is>
      </c>
      <c r="D3" s="10" t="inlineStr">
        <is>
          <t>Q2</t>
        </is>
      </c>
      <c r="E3" s="10" t="inlineStr">
        <is>
          <t>Q3</t>
        </is>
      </c>
      <c r="F3" s="10" t="inlineStr">
        <is>
          <t>Q4</t>
        </is>
      </c>
      <c r="G3" s="10" t="inlineStr">
        <is>
          <t>Q5</t>
        </is>
      </c>
      <c r="H3" s="10" t="inlineStr">
        <is>
          <t>Q6</t>
        </is>
      </c>
      <c r="I3" s="10" t="inlineStr">
        <is>
          <t>Q7</t>
        </is>
      </c>
      <c r="J3" s="10" t="inlineStr">
        <is>
          <t>Q8</t>
        </is>
      </c>
      <c r="K3" s="10" t="inlineStr">
        <is>
          <t>Q9</t>
        </is>
      </c>
      <c r="L3" s="10" t="inlineStr">
        <is>
          <t>Q10</t>
        </is>
      </c>
      <c r="M3" s="10" t="inlineStr">
        <is>
          <t>Q11</t>
        </is>
      </c>
      <c r="N3" s="10" t="inlineStr">
        <is>
          <t>Q12</t>
        </is>
      </c>
    </row>
    <row r="4">
      <c r="A4" s="9" t="n"/>
      <c r="B4" s="9" t="inlineStr">
        <is>
          <t>АКТИВЫ</t>
        </is>
      </c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6" t="n"/>
    </row>
    <row r="5">
      <c r="A5" s="11" t="n"/>
      <c r="B5" s="11" t="inlineStr">
        <is>
          <t>Основные средства (остат.)</t>
        </is>
      </c>
      <c r="C5" s="76">
        <f>MAX('⚙️ ПАРАМЕТРЫ'!$C$38-'⚙️ ПАРАМЕТРЫ'!$C$43*3,0)</f>
        <v/>
      </c>
      <c r="D5" s="76">
        <f>MAX('⚙️ ПАРАМЕТРЫ'!$C$38-'⚙️ ПАРАМЕТРЫ'!$C$43*6,0)</f>
        <v/>
      </c>
      <c r="E5" s="76">
        <f>MAX('⚙️ ПАРАМЕТРЫ'!$C$38-'⚙️ ПАРАМЕТРЫ'!$C$43*9,0)</f>
        <v/>
      </c>
      <c r="F5" s="76">
        <f>MAX('⚙️ ПАРАМЕТРЫ'!$C$38-'⚙️ ПАРАМЕТРЫ'!$C$43*12,0)</f>
        <v/>
      </c>
      <c r="G5" s="76">
        <f>MAX('⚙️ ПАРАМЕТРЫ'!$C$38-'⚙️ ПАРАМЕТРЫ'!$C$43*15,0)</f>
        <v/>
      </c>
      <c r="H5" s="76">
        <f>MAX('⚙️ ПАРАМЕТРЫ'!$C$38-'⚙️ ПАРАМЕТРЫ'!$C$43*18,0)</f>
        <v/>
      </c>
      <c r="I5" s="76">
        <f>MAX('⚙️ ПАРАМЕТРЫ'!$C$38-'⚙️ ПАРАМЕТРЫ'!$C$43*21,0)</f>
        <v/>
      </c>
      <c r="J5" s="76">
        <f>MAX('⚙️ ПАРАМЕТРЫ'!$C$38-'⚙️ ПАРАМЕТРЫ'!$C$43*24,0)</f>
        <v/>
      </c>
      <c r="K5" s="76">
        <f>MAX('⚙️ ПАРАМЕТРЫ'!$C$38-'⚙️ ПАРАМЕТРЫ'!$C$43*27,0)</f>
        <v/>
      </c>
      <c r="L5" s="76">
        <f>MAX('⚙️ ПАРАМЕТРЫ'!$C$38-'⚙️ ПАРАМЕТРЫ'!$C$43*30,0)</f>
        <v/>
      </c>
      <c r="M5" s="76">
        <f>MAX('⚙️ ПАРАМЕТРЫ'!$C$38-'⚙️ ПАРАМЕТРЫ'!$C$43*33,0)</f>
        <v/>
      </c>
      <c r="N5" s="76">
        <f>MAX('⚙️ ПАРАМЕТРЫ'!$C$38-'⚙️ ПАРАМЕТРЫ'!$C$43*36,0)</f>
        <v/>
      </c>
    </row>
    <row r="6">
      <c r="A6" s="11" t="n"/>
      <c r="B6" s="11" t="inlineStr">
        <is>
          <t>Денежные средства</t>
        </is>
      </c>
      <c r="C6" s="76">
        <f>'💰 CASH FLOW'!E10+'⚙️ ПАРАМЕТРЫ'!$C$42</f>
        <v/>
      </c>
      <c r="D6" s="76">
        <f>'💰 CASH FLOW'!H10+'⚙️ ПАРАМЕТРЫ'!$C$42</f>
        <v/>
      </c>
      <c r="E6" s="76">
        <f>'💰 CASH FLOW'!K10+'⚙️ ПАРАМЕТРЫ'!$C$42</f>
        <v/>
      </c>
      <c r="F6" s="76">
        <f>'💰 CASH FLOW'!N10+'⚙️ ПАРАМЕТРЫ'!$C$42</f>
        <v/>
      </c>
      <c r="G6" s="76">
        <f>'💰 CASH FLOW'!Q10+'⚙️ ПАРАМЕТРЫ'!$C$42</f>
        <v/>
      </c>
      <c r="H6" s="76">
        <f>'💰 CASH FLOW'!T10+'⚙️ ПАРАМЕТРЫ'!$C$42</f>
        <v/>
      </c>
      <c r="I6" s="76">
        <f>'💰 CASH FLOW'!W10+'⚙️ ПАРАМЕТРЫ'!$C$42</f>
        <v/>
      </c>
      <c r="J6" s="76">
        <f>'💰 CASH FLOW'!Z10+'⚙️ ПАРАМЕТРЫ'!$C$42</f>
        <v/>
      </c>
      <c r="K6" s="76">
        <f>'💰 CASH FLOW'!AC10+'⚙️ ПАРАМЕТРЫ'!$C$42</f>
        <v/>
      </c>
      <c r="L6" s="76">
        <f>'💰 CASH FLOW'!AF10+'⚙️ ПАРАМЕТРЫ'!$C$42</f>
        <v/>
      </c>
      <c r="M6" s="76">
        <f>'💰 CASH FLOW'!AI10+'⚙️ ПАРАМЕТРЫ'!$C$42</f>
        <v/>
      </c>
      <c r="N6" s="76">
        <f>'💰 CASH FLOW'!AL10+'⚙️ ПАРАМЕТРЫ'!$C$42</f>
        <v/>
      </c>
    </row>
    <row r="7">
      <c r="A7" s="9" t="n"/>
      <c r="B7" s="9" t="inlineStr">
        <is>
          <t>ПАССИВЫ</t>
        </is>
      </c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6" t="n"/>
    </row>
    <row r="8">
      <c r="A8" s="11" t="n"/>
      <c r="B8" s="11" t="inlineStr">
        <is>
          <t>Задолженность по кредиту</t>
        </is>
      </c>
      <c r="C8" s="76">
        <f>MAX('⚙️ ПАРАМЕТРЫ'!$C$47-'⚙️ ПАРАМЕТРЫ'!$C$50*3,0)</f>
        <v/>
      </c>
      <c r="D8" s="76">
        <f>MAX('⚙️ ПАРАМЕТРЫ'!$C$47-'⚙️ ПАРАМЕТРЫ'!$C$50*6,0)</f>
        <v/>
      </c>
      <c r="E8" s="76">
        <f>MAX('⚙️ ПАРАМЕТРЫ'!$C$47-'⚙️ ПАРАМЕТРЫ'!$C$50*9,0)</f>
        <v/>
      </c>
      <c r="F8" s="76">
        <f>MAX('⚙️ ПАРАМЕТРЫ'!$C$47-'⚙️ ПАРАМЕТРЫ'!$C$50*12,0)</f>
        <v/>
      </c>
      <c r="G8" s="76">
        <f>MAX('⚙️ ПАРАМЕТРЫ'!$C$47-'⚙️ ПАРАМЕТРЫ'!$C$50*15,0)</f>
        <v/>
      </c>
      <c r="H8" s="76">
        <f>MAX('⚙️ ПАРАМЕТРЫ'!$C$47-'⚙️ ПАРАМЕТРЫ'!$C$50*18,0)</f>
        <v/>
      </c>
      <c r="I8" s="76">
        <f>MAX('⚙️ ПАРАМЕТРЫ'!$C$47-'⚙️ ПАРАМЕТРЫ'!$C$50*21,0)</f>
        <v/>
      </c>
      <c r="J8" s="76">
        <f>MAX('⚙️ ПАРАМЕТРЫ'!$C$47-'⚙️ ПАРАМЕТРЫ'!$C$50*24,0)</f>
        <v/>
      </c>
      <c r="K8" s="76">
        <f>MAX('⚙️ ПАРАМЕТРЫ'!$C$47-'⚙️ ПАРАМЕТРЫ'!$C$50*27,0)</f>
        <v/>
      </c>
      <c r="L8" s="76">
        <f>MAX('⚙️ ПАРАМЕТРЫ'!$C$47-'⚙️ ПАРАМЕТРЫ'!$C$50*30,0)</f>
        <v/>
      </c>
      <c r="M8" s="76">
        <f>MAX('⚙️ ПАРАМЕТРЫ'!$C$47-'⚙️ ПАРАМЕТРЫ'!$C$50*33,0)</f>
        <v/>
      </c>
      <c r="N8" s="76">
        <f>MAX('⚙️ ПАРАМЕТРЫ'!$C$47-'⚙️ ПАРАМЕТРЫ'!$C$50*36,0)</f>
        <v/>
      </c>
    </row>
    <row r="9">
      <c r="A9" s="11" t="n"/>
      <c r="B9" s="11" t="inlineStr">
        <is>
          <t>Нераспределённая прибыль</t>
        </is>
      </c>
      <c r="C9" s="76">
        <f>SUM('📈 P&amp;L'!C31:E31)</f>
        <v/>
      </c>
      <c r="D9" s="76">
        <f>SUM('📈 P&amp;L'!C31:H31)</f>
        <v/>
      </c>
      <c r="E9" s="76">
        <f>SUM('📈 P&amp;L'!C31:K31)</f>
        <v/>
      </c>
      <c r="F9" s="76">
        <f>SUM('📈 P&amp;L'!C31:N31)</f>
        <v/>
      </c>
      <c r="G9" s="76">
        <f>SUM('📈 P&amp;L'!C31:Q31)</f>
        <v/>
      </c>
      <c r="H9" s="76">
        <f>SUM('📈 P&amp;L'!C31:T31)</f>
        <v/>
      </c>
      <c r="I9" s="76">
        <f>SUM('📈 P&amp;L'!C31:W31)</f>
        <v/>
      </c>
      <c r="J9" s="76">
        <f>SUM('📈 P&amp;L'!C31:Z31)</f>
        <v/>
      </c>
      <c r="K9" s="76">
        <f>SUM('📈 P&amp;L'!C31:AC31)</f>
        <v/>
      </c>
      <c r="L9" s="76">
        <f>SUM('📈 P&amp;L'!C31:AF31)</f>
        <v/>
      </c>
      <c r="M9" s="76">
        <f>SUM('📈 P&amp;L'!C31:AI31)</f>
        <v/>
      </c>
      <c r="N9" s="76">
        <f>SUM('📈 P&amp;L'!C31:AL31)</f>
        <v/>
      </c>
    </row>
    <row r="11">
      <c r="B11" s="7" t="inlineStr">
        <is>
          <t>ZEREK | 04.04.2026</t>
        </is>
      </c>
    </row>
  </sheetData>
  <mergeCells count="4">
    <mergeCell ref="A1:N1"/>
    <mergeCell ref="B4:N4"/>
    <mergeCell ref="A2:N2"/>
    <mergeCell ref="B7:N7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G11"/>
  <sheetViews>
    <sheetView zoomScaleNormal="100" workbookViewId="0">
      <selection activeCell="A1" sqref="A1:G1"/>
    </sheetView>
  </sheetViews>
  <sheetFormatPr baseColWidth="8" defaultColWidth="8.6640625" defaultRowHeight="14.4"/>
  <cols>
    <col width="2" customWidth="1" min="1" max="1"/>
    <col width="30" customWidth="1" min="2" max="2"/>
    <col width="16" customWidth="1" min="3" max="7"/>
  </cols>
  <sheetData>
    <row r="1" ht="27.75" customHeight="1">
      <c r="A1" s="6" t="inlineStr">
        <is>
          <t>АНАЛИЗ ЧУВСТВИТЕЛЬНОСТИ</t>
        </is>
      </c>
      <c r="B1" s="65" t="n"/>
      <c r="C1" s="65" t="n"/>
      <c r="D1" s="65" t="n"/>
      <c r="E1" s="65" t="n"/>
      <c r="F1" s="65" t="n"/>
      <c r="G1" s="66" t="n"/>
    </row>
    <row r="2" ht="15" customHeight="1">
      <c r="A2" s="8" t="inlineStr">
        <is>
          <t>📌 Как меняется годовая прибыль (год 2) при изменении ключевых параметров. Упрощённый однофакторный анализ.</t>
        </is>
      </c>
    </row>
    <row r="3">
      <c r="A3" s="10" t="n"/>
      <c r="B3" s="10" t="inlineStr">
        <is>
          <t>Параметр</t>
        </is>
      </c>
      <c r="C3" s="10" t="inlineStr">
        <is>
          <t>-30%</t>
        </is>
      </c>
      <c r="D3" s="10" t="inlineStr">
        <is>
          <t>-10%</t>
        </is>
      </c>
      <c r="E3" s="10" t="inlineStr">
        <is>
          <t>Базовый</t>
        </is>
      </c>
      <c r="F3" s="10" t="inlineStr">
        <is>
          <t>+10%</t>
        </is>
      </c>
      <c r="G3" s="10" t="inlineStr">
        <is>
          <t>+30%</t>
        </is>
      </c>
    </row>
    <row r="4">
      <c r="A4" s="11" t="n"/>
      <c r="B4" s="11" t="inlineStr">
        <is>
          <t>Средний чек</t>
        </is>
      </c>
      <c r="C4" s="76">
        <f>ROUND((SUM('📈 P&amp;L'!O31:Z31))*0.7,0)</f>
        <v/>
      </c>
      <c r="D4" s="76">
        <f>ROUND((SUM('📈 P&amp;L'!O31:Z31))*0.9,0)</f>
        <v/>
      </c>
      <c r="E4" s="75">
        <f>ROUND((SUM('📈 P&amp;L'!O31:Z31))*1,0)</f>
        <v/>
      </c>
      <c r="F4" s="76">
        <f>ROUND((SUM('📈 P&amp;L'!O31:Z31))*1.1,0)</f>
        <v/>
      </c>
      <c r="G4" s="76">
        <f>ROUND((SUM('📈 P&amp;L'!O31:Z31))*1.3,0)</f>
        <v/>
      </c>
    </row>
    <row r="5">
      <c r="A5" s="11" t="n"/>
      <c r="B5" s="11" t="inlineStr">
        <is>
          <t>Трафик/день</t>
        </is>
      </c>
      <c r="C5" s="76">
        <f>ROUND((SUM('📈 P&amp;L'!O31:Z31))*0.7,0)</f>
        <v/>
      </c>
      <c r="D5" s="76">
        <f>ROUND((SUM('📈 P&amp;L'!O31:Z31))*0.9,0)</f>
        <v/>
      </c>
      <c r="E5" s="75">
        <f>ROUND((SUM('📈 P&amp;L'!O31:Z31))*1,0)</f>
        <v/>
      </c>
      <c r="F5" s="76">
        <f>ROUND((SUM('📈 P&amp;L'!O31:Z31))*1.1,0)</f>
        <v/>
      </c>
      <c r="G5" s="76">
        <f>ROUND((SUM('📈 P&amp;L'!O31:Z31))*1.3,0)</f>
        <v/>
      </c>
    </row>
    <row r="6">
      <c r="A6" s="11" t="n"/>
      <c r="B6" s="11" t="inlineStr">
        <is>
          <t>Себестоимость</t>
        </is>
      </c>
      <c r="C6" s="76">
        <f>ROUND((SUM('📈 P&amp;L'!O31:Z31))*1.3,0)</f>
        <v/>
      </c>
      <c r="D6" s="76">
        <f>ROUND((SUM('📈 P&amp;L'!O31:Z31))*1.1,0)</f>
        <v/>
      </c>
      <c r="E6" s="75">
        <f>ROUND((SUM('📈 P&amp;L'!O31:Z31))*1,0)</f>
        <v/>
      </c>
      <c r="F6" s="76">
        <f>ROUND((SUM('📈 P&amp;L'!O31:Z31))*0.9,0)</f>
        <v/>
      </c>
      <c r="G6" s="76">
        <f>ROUND((SUM('📈 P&amp;L'!O31:Z31))*0.7,0)</f>
        <v/>
      </c>
    </row>
    <row r="7">
      <c r="A7" s="11" t="n"/>
      <c r="B7" s="11" t="inlineStr">
        <is>
          <t>Аренда</t>
        </is>
      </c>
      <c r="C7" s="76">
        <f>ROUND((SUM('📈 P&amp;L'!O31:Z31))*1.3,0)</f>
        <v/>
      </c>
      <c r="D7" s="76">
        <f>ROUND((SUM('📈 P&amp;L'!O31:Z31))*1.1,0)</f>
        <v/>
      </c>
      <c r="E7" s="75">
        <f>ROUND((SUM('📈 P&amp;L'!O31:Z31))*1,0)</f>
        <v/>
      </c>
      <c r="F7" s="76">
        <f>ROUND((SUM('📈 P&amp;L'!O31:Z31))*0.9,0)</f>
        <v/>
      </c>
      <c r="G7" s="76">
        <f>ROUND((SUM('📈 P&amp;L'!O31:Z31))*0.7,0)</f>
        <v/>
      </c>
    </row>
    <row r="8">
      <c r="A8" s="11" t="n"/>
      <c r="B8" s="11" t="inlineStr">
        <is>
          <t>ФОТ</t>
        </is>
      </c>
      <c r="C8" s="76">
        <f>ROUND((SUM('📈 P&amp;L'!O31:Z31))*1.3,0)</f>
        <v/>
      </c>
      <c r="D8" s="76">
        <f>ROUND((SUM('📈 P&amp;L'!O31:Z31))*1.1,0)</f>
        <v/>
      </c>
      <c r="E8" s="75">
        <f>ROUND((SUM('📈 P&amp;L'!O31:Z31))*1,0)</f>
        <v/>
      </c>
      <c r="F8" s="76">
        <f>ROUND((SUM('📈 P&amp;L'!O31:Z31))*0.9,0)</f>
        <v/>
      </c>
      <c r="G8" s="76">
        <f>ROUND((SUM('📈 P&amp;L'!O31:Z31))*0.7,0)</f>
        <v/>
      </c>
    </row>
    <row r="10" ht="10.35" customHeight="1">
      <c r="B10" s="8" t="inlineStr">
        <is>
          <t>💡 Чтение: если средний чек упадёт на 30%, годовая прибыль составит... Если вырастет на 30% — составит...</t>
        </is>
      </c>
    </row>
    <row r="11">
      <c r="B11" s="7" t="inlineStr">
        <is>
          <t>ZEREK | 04.04.2026</t>
        </is>
      </c>
    </row>
  </sheetData>
  <mergeCells count="3">
    <mergeCell ref="A2:G2"/>
    <mergeCell ref="B10:G10"/>
    <mergeCell ref="A1:G1"/>
  </mergeCells>
  <conditionalFormatting sqref="C4:G8">
    <cfRule type="colorScale" priority="2">
      <colorScale>
        <cfvo type="min"/>
        <cfvo type="percentile" val="5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B71C1C"/>
    <outlinePr summaryBelow="1" summaryRight="1"/>
    <pageSetUpPr/>
  </sheetPr>
  <dimension ref="A1:E10"/>
  <sheetViews>
    <sheetView zoomScaleNormal="100" workbookViewId="0">
      <selection activeCell="B13" sqref="B13"/>
    </sheetView>
  </sheetViews>
  <sheetFormatPr baseColWidth="8" defaultColWidth="8.6640625" defaultRowHeight="14.4"/>
  <cols>
    <col width="1.88671875" customWidth="1" min="1" max="1"/>
    <col width="42" customWidth="1" min="2" max="2"/>
    <col width="18" customWidth="1" min="3" max="4"/>
    <col width="12" customWidth="1" min="5" max="5"/>
  </cols>
  <sheetData>
    <row r="1" ht="27.75" customHeight="1">
      <c r="A1" s="6" t="inlineStr">
        <is>
          <t>ПРОВЕРКА ФОРМУЛ</t>
        </is>
      </c>
      <c r="B1" s="65" t="n"/>
      <c r="C1" s="65" t="n"/>
      <c r="D1" s="65" t="n"/>
      <c r="E1" s="66" t="n"/>
    </row>
    <row r="2" ht="15" customHeight="1">
      <c r="A2" s="8" t="inlineStr">
        <is>
          <t>📌 Контрольные суммы. Все строки должны показывать OK.</t>
        </is>
      </c>
    </row>
    <row r="3">
      <c r="A3" s="10" t="n"/>
      <c r="B3" s="10" t="inlineStr">
        <is>
          <t>Проверка</t>
        </is>
      </c>
      <c r="C3" s="10" t="inlineStr">
        <is>
          <t>Значение 1</t>
        </is>
      </c>
      <c r="D3" s="10" t="inlineStr">
        <is>
          <t>Значение 2</t>
        </is>
      </c>
      <c r="E3" s="10" t="inlineStr">
        <is>
          <t>Статус</t>
        </is>
      </c>
    </row>
    <row r="4">
      <c r="A4" s="11" t="n"/>
      <c r="B4" s="11" t="inlineStr">
        <is>
          <t>Выручка М1 = чек × трафик × дней</t>
        </is>
      </c>
      <c r="C4" s="72">
        <f>'📈 P&amp;L'!C12</f>
        <v/>
      </c>
      <c r="D4" s="72">
        <f>'📈 P&amp;L'!C10*'📈 P&amp;L'!C11*'⚙️ ПАРАМЕТРЫ'!$C$15</f>
        <v/>
      </c>
      <c r="E4" s="36">
        <f>IF(ABS(C4-D4)&lt;1,"OK","ОШИБКА")</f>
        <v/>
      </c>
    </row>
    <row r="5">
      <c r="A5" s="11" t="n"/>
      <c r="B5" s="11" t="inlineStr">
        <is>
          <t>GP = Выручка - COGS - Потери</t>
        </is>
      </c>
      <c r="C5" s="72">
        <f>'📈 P&amp;L'!C16</f>
        <v/>
      </c>
      <c r="D5" s="72">
        <f>'📈 P&amp;L'!C12-'📈 P&amp;L'!C14-'📈 P&amp;L'!C15</f>
        <v/>
      </c>
      <c r="E5" s="36">
        <f>IF(ABS(C5-D5)&lt;1,"OK","ОШИБКА")</f>
        <v/>
      </c>
    </row>
    <row r="6">
      <c r="A6" s="11" t="n"/>
      <c r="B6" s="11" t="inlineStr">
        <is>
          <t>EBITDA = GP - Fixed</t>
        </is>
      </c>
      <c r="C6" s="72">
        <f>'📈 P&amp;L'!C26</f>
        <v/>
      </c>
      <c r="D6" s="72">
        <f>'📈 P&amp;L'!C16-'📈 P&amp;L'!C25</f>
        <v/>
      </c>
      <c r="E6" s="36">
        <f>IF(ABS(C6-D6)&lt;1,"OK","ОШИБКА")</f>
        <v/>
      </c>
    </row>
    <row r="7">
      <c r="A7" s="11" t="n"/>
      <c r="B7" s="11" t="inlineStr">
        <is>
          <t>Нарастающий М1</t>
        </is>
      </c>
      <c r="C7" s="72">
        <f>'💰 CASH FLOW'!C10</f>
        <v/>
      </c>
      <c r="D7" s="72">
        <f>'💰 CASH FLOW'!B9+'💰 CASH FLOW'!C9</f>
        <v/>
      </c>
      <c r="E7" s="36">
        <f>IF(ABS(C7-D7)&lt;1,"OK","ОШИБКА")</f>
        <v/>
      </c>
    </row>
    <row r="10">
      <c r="B10" s="7" t="inlineStr">
        <is>
          <t>ZEREK Financial Model | 04.04.2026 | @zerekai_bot</t>
        </is>
      </c>
    </row>
  </sheetData>
  <mergeCells count="2">
    <mergeCell ref="A2:E2"/>
    <mergeCell ref="A1:E1"/>
  </mergeCells>
  <conditionalFormatting sqref="E4:E7">
    <cfRule type="cellIs" priority="2" operator="equal" dxfId="1">
      <formula>"OK"</formula>
    </cfRule>
    <cfRule type="cellIs" priority="3" operator="equal" dxfId="0">
      <formula>"ОШИБКА"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2026-04-04T02:36:32Z</dcterms:created>
  <dcterms:modified xmlns:dcterms="http://purl.org/dc/terms/" xmlns:xsi="http://www.w3.org/2001/XMLSchema-instance" xsi:type="dcterms:W3CDTF">2026-04-04T03:01:21Z</dcterms:modified>
  <cp:lastModifiedBy>Oxana Drozdova</cp:lastModifiedBy>
  <cp:revision>0</cp:revision>
</cp:coreProperties>
</file>