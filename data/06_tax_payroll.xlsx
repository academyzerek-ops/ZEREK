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логи на ФОТ 2026" sheetId="1" state="visible" r:id="rId1"/>
    <sheet xmlns:r="http://schemas.openxmlformats.org/officeDocument/2006/relationships" name="Детальный расчёт" sheetId="2" state="visible" r:id="rId2"/>
    <sheet xmlns:r="http://schemas.openxmlformats.org/officeDocument/2006/relationships" name="Типы занятост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3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  <col width="52" customWidth="1" min="4" max="4"/>
  </cols>
  <sheetData>
    <row r="1">
      <c r="A1" s="1" t="inlineStr">
        <is>
          <t>Источник:</t>
        </is>
      </c>
      <c r="B1" s="2" t="inlineStr">
        <is>
          <t>НК РК, Закон об ОПВ, Закон о ОСМС — редакция 2025-2026</t>
        </is>
      </c>
    </row>
    <row r="2">
      <c r="A2" s="1" t="inlineStr">
        <is>
          <t>Обновлено:</t>
        </is>
      </c>
      <c r="B2" s="2" t="inlineStr">
        <is>
          <t>2026 (март 2026)</t>
        </is>
      </c>
    </row>
    <row r="3">
      <c r="A3" s="1" t="inlineStr">
        <is>
          <t>Версия:</t>
        </is>
      </c>
      <c r="B3" s="2" t="inlineStr">
        <is>
          <t>3.0</t>
        </is>
      </c>
    </row>
    <row r="4">
      <c r="A4" s="1" t="inlineStr">
        <is>
          <t>Примечание:</t>
        </is>
      </c>
      <c r="B4" s="2" t="inlineStr">
        <is>
          <t>⚠️ МЗП и МРП 2026 указаны оценочно. Уточнить официальные значения на сайте Минтруда РК.</t>
        </is>
      </c>
    </row>
    <row r="6" ht="36" customHeight="1">
      <c r="A6" s="3" t="inlineStr">
        <is>
          <t>Параметр</t>
        </is>
      </c>
      <c r="B6" s="3" t="inlineStr">
        <is>
          <t>Значение</t>
        </is>
      </c>
      <c r="C6" s="3" t="inlineStr">
        <is>
          <t>Единица</t>
        </is>
      </c>
      <c r="D6" s="3" t="inlineStr">
        <is>
          <t>Примечание</t>
        </is>
      </c>
    </row>
    <row r="7">
      <c r="A7" s="4">
        <f>== БАЗОВЫЕ ПАРАМЕТРЫ 2026 ===</f>
        <v/>
      </c>
      <c r="B7" s="4" t="inlineStr"/>
      <c r="C7" s="4" t="inlineStr"/>
      <c r="D7" s="4" t="inlineStr"/>
    </row>
    <row r="8">
      <c r="A8" t="inlineStr">
        <is>
          <t>МЗП (минимальная заработная плата) *</t>
        </is>
      </c>
      <c r="B8" t="inlineStr">
        <is>
          <t>85 000</t>
        </is>
      </c>
      <c r="C8" t="inlineStr">
        <is>
          <t>₸/мес</t>
        </is>
      </c>
      <c r="D8" t="inlineStr">
        <is>
          <t>* УТОЧНИТЬ — возможно изменение с 2026</t>
        </is>
      </c>
    </row>
    <row r="9">
      <c r="A9" t="inlineStr">
        <is>
          <t>МРП (месячный расчётный показатель) *</t>
        </is>
      </c>
      <c r="B9" t="inlineStr">
        <is>
          <t>3 932</t>
        </is>
      </c>
      <c r="C9" t="inlineStr">
        <is>
          <t>₸</t>
        </is>
      </c>
      <c r="D9" t="inlineStr">
        <is>
          <t>* УТОЧНИТЬ — в 2025 было 3 692₸</t>
        </is>
      </c>
    </row>
    <row r="10">
      <c r="A10" t="inlineStr"/>
      <c r="B10" t="inlineStr"/>
      <c r="C10" t="inlineStr"/>
      <c r="D10" t="inlineStr"/>
    </row>
    <row r="11">
      <c r="A11" s="4">
        <f>== УДЕРЖАНИЯ С РАБОТНИКА ===</f>
        <v/>
      </c>
      <c r="B11" s="4" t="inlineStr"/>
      <c r="C11" s="4" t="inlineStr"/>
      <c r="D11" s="4" t="inlineStr"/>
    </row>
    <row r="12">
      <c r="A12" t="inlineStr">
        <is>
          <t>ОПВ (обязательные пенсионные взносы)</t>
        </is>
      </c>
      <c r="B12" t="inlineStr">
        <is>
          <t>10%</t>
        </is>
      </c>
      <c r="C12" t="inlineStr">
        <is>
          <t>от оклада</t>
        </is>
      </c>
      <c r="D12" t="inlineStr">
        <is>
          <t>Макс. база: 50 МЗП = 4 250 000₸/мес</t>
        </is>
      </c>
    </row>
    <row r="13">
      <c r="A13" t="inlineStr">
        <is>
          <t>ВОСМС (взносы медстрахования — работник)</t>
        </is>
      </c>
      <c r="B13" t="inlineStr">
        <is>
          <t>2%</t>
        </is>
      </c>
      <c r="C13" t="inlineStr">
        <is>
          <t>от оклада</t>
        </is>
      </c>
      <c r="D13" t="inlineStr">
        <is>
          <t>Макс. база: 10 МЗП = 850 000₸/мес</t>
        </is>
      </c>
    </row>
    <row r="14">
      <c r="A14" t="inlineStr">
        <is>
          <t>ИПН (индивидуальный подоходный налог)</t>
        </is>
      </c>
      <c r="B14" t="inlineStr">
        <is>
          <t>10%</t>
        </is>
      </c>
      <c r="C14" t="inlineStr">
        <is>
          <t>от (оклад − ОПВ − 1 МЗП)</t>
        </is>
      </c>
      <c r="D14" t="inlineStr">
        <is>
          <t>Если база ≤ 0 — ИПН = 0</t>
        </is>
      </c>
    </row>
    <row r="15">
      <c r="A15" t="inlineStr"/>
      <c r="B15" t="inlineStr"/>
      <c r="C15" t="inlineStr"/>
      <c r="D15" t="inlineStr"/>
    </row>
    <row r="16">
      <c r="A16" s="4">
        <f>== ПЛАТЕЖИ РАБОТОДАТЕЛЯ (СВЕРХ ОКЛАДА) ===</f>
        <v/>
      </c>
      <c r="B16" s="4" t="inlineStr"/>
      <c r="C16" s="4" t="inlineStr"/>
      <c r="D16" s="4" t="inlineStr"/>
    </row>
    <row r="17">
      <c r="A17" t="inlineStr">
        <is>
          <t>СО (социальные отчисления)</t>
        </is>
      </c>
      <c r="B17" t="inlineStr">
        <is>
          <t>3.5%</t>
        </is>
      </c>
      <c r="C17" t="inlineStr">
        <is>
          <t>от (оклад − ОПВ)</t>
        </is>
      </c>
      <c r="D17" t="inlineStr">
        <is>
          <t>Макс. база: 7 МЗП = 595 000₸/мес</t>
        </is>
      </c>
    </row>
    <row r="18">
      <c r="A18" t="inlineStr">
        <is>
          <t>ООСМС (отчисления медстрахования — работодатель)</t>
        </is>
      </c>
      <c r="B18" t="inlineStr">
        <is>
          <t>3%</t>
        </is>
      </c>
      <c r="C18" t="inlineStr">
        <is>
          <t>от оклада</t>
        </is>
      </c>
      <c r="D18" t="inlineStr">
        <is>
          <t>Макс. база: 10 МЗП = 850 000₸/мес</t>
        </is>
      </c>
    </row>
    <row r="19">
      <c r="A19" t="inlineStr"/>
      <c r="B19" t="inlineStr"/>
      <c r="C19" t="inlineStr"/>
      <c r="D19" t="inlineStr"/>
    </row>
    <row r="20">
      <c r="A20" s="4">
        <f>== ИТОГОВАЯ НАГРУЗКА НА РАБОТОДАТЕЛЯ ===</f>
        <v/>
      </c>
      <c r="B20" s="4" t="inlineStr"/>
      <c r="C20" s="4" t="inlineStr"/>
      <c r="D20" s="4" t="inlineStr"/>
    </row>
    <row r="21">
      <c r="A21" t="inlineStr">
        <is>
          <t>Коэффициент нагрузки (оценка)</t>
        </is>
      </c>
      <c r="B21" t="inlineStr">
        <is>
          <t>~6-7%</t>
        </is>
      </c>
      <c r="C21" t="inlineStr">
        <is>
          <t>сверх оклада</t>
        </is>
      </c>
      <c r="D21" t="inlineStr">
        <is>
          <t>СО + ООСМС. ИПН платит работник</t>
        </is>
      </c>
    </row>
    <row r="22">
      <c r="A22" t="inlineStr"/>
      <c r="B22" t="inlineStr"/>
      <c r="C22" t="inlineStr"/>
      <c r="D22" t="inlineStr"/>
    </row>
    <row r="23">
      <c r="A23" s="4">
        <f>== ПРИМЕРЫ РАСЧЁТА ===</f>
        <v/>
      </c>
      <c r="B23" s="4" t="inlineStr"/>
      <c r="C23" s="4" t="inlineStr"/>
      <c r="D23" s="4" t="inlineStr"/>
    </row>
    <row r="24">
      <c r="A24" t="inlineStr">
        <is>
          <t>Оклад 150 000₸ — расход работодателя</t>
        </is>
      </c>
      <c r="B24" t="inlineStr">
        <is>
          <t>~159 750</t>
        </is>
      </c>
      <c r="C24" t="inlineStr">
        <is>
          <t>₸</t>
        </is>
      </c>
      <c r="D24" t="inlineStr">
        <is>
          <t>150 000 + 5 250 (СО) + 4 500 (ООСМС)</t>
        </is>
      </c>
    </row>
    <row r="25">
      <c r="A25" t="inlineStr">
        <is>
          <t>Оклад 175 000₸ — расход работодателя</t>
        </is>
      </c>
      <c r="B25" t="inlineStr">
        <is>
          <t>~186 375</t>
        </is>
      </c>
      <c r="C25" t="inlineStr">
        <is>
          <t>₸</t>
        </is>
      </c>
      <c r="D25" t="inlineStr">
        <is>
          <t>175 000 + 6 125 (СО) + 5 250 (ООСМС)</t>
        </is>
      </c>
    </row>
    <row r="26">
      <c r="A26" t="inlineStr">
        <is>
          <t>Оклад 200 000₸ — расход работодателя</t>
        </is>
      </c>
      <c r="B26" t="inlineStr">
        <is>
          <t>~212 300</t>
        </is>
      </c>
      <c r="C26" t="inlineStr">
        <is>
          <t>₸</t>
        </is>
      </c>
      <c r="D26" t="inlineStr">
        <is>
          <t>200 000 + 6 300 (СО) + 6 000 (ООСМС) ≈ +6.15%</t>
        </is>
      </c>
    </row>
    <row r="27">
      <c r="A27" t="inlineStr">
        <is>
          <t>Оклад 300 000₸ — расход работодателя</t>
        </is>
      </c>
      <c r="B27" t="inlineStr">
        <is>
          <t>~318 800</t>
        </is>
      </c>
      <c r="C27" t="inlineStr">
        <is>
          <t>₸</t>
        </is>
      </c>
      <c r="D27" t="inlineStr">
        <is>
          <t>300 000 + 9 800 (СО) + 9 000 (ООСМС) ≈ +6.27%</t>
        </is>
      </c>
    </row>
    <row r="28">
      <c r="A28" t="inlineStr">
        <is>
          <t>Оклад 500 000₸ — расход работодателя</t>
        </is>
      </c>
      <c r="B28" t="inlineStr">
        <is>
          <t>~531 250</t>
        </is>
      </c>
      <c r="C28" t="inlineStr">
        <is>
          <t>₸</t>
        </is>
      </c>
      <c r="D28" t="inlineStr">
        <is>
          <t>500 000 + 17 325 (СО) + 15 000 (ООСМС) ≈ +6.25%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6" customWidth="1" min="4" max="4"/>
    <col width="16" customWidth="1" min="5" max="5"/>
    <col width="32" customWidth="1" min="6" max="6"/>
  </cols>
  <sheetData>
    <row r="1">
      <c r="A1" s="1" t="inlineStr">
        <is>
          <t>Источник:</t>
        </is>
      </c>
      <c r="B1" s="2" t="inlineStr">
        <is>
          <t>Расчёт ФОТ для типичных ниш ZEREK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3.0</t>
        </is>
      </c>
    </row>
    <row r="5" ht="36" customHeight="1">
      <c r="A5" s="3" t="inlineStr">
        <is>
          <t>Компонент</t>
        </is>
      </c>
      <c r="B5" s="3" t="inlineStr">
        <is>
          <t>Формула</t>
        </is>
      </c>
      <c r="C5" s="3" t="inlineStr">
        <is>
          <t>Оклад 175 000₸</t>
        </is>
      </c>
      <c r="D5" s="3" t="inlineStr">
        <is>
          <t>Оклад 240 000₸</t>
        </is>
      </c>
      <c r="E5" s="3" t="inlineStr">
        <is>
          <t>Оклад 350 000₸</t>
        </is>
      </c>
      <c r="F5" s="3" t="inlineStr">
        <is>
          <t>Примечание</t>
        </is>
      </c>
    </row>
    <row r="6">
      <c r="A6" t="inlineStr">
        <is>
          <t>Оклад (gross)</t>
        </is>
      </c>
      <c r="B6" t="inlineStr">
        <is>
          <t>—</t>
        </is>
      </c>
      <c r="C6" s="5" t="n">
        <v>175000</v>
      </c>
      <c r="D6" s="5" t="n">
        <v>240000</v>
      </c>
      <c r="E6" s="5" t="n">
        <v>350000</v>
      </c>
      <c r="F6" t="inlineStr">
        <is>
          <t>До всех удержаний</t>
        </is>
      </c>
    </row>
    <row r="7">
      <c r="A7" t="inlineStr">
        <is>
          <t>ОПВ (работник)</t>
        </is>
      </c>
      <c r="B7" t="inlineStr">
        <is>
          <t>Оклад × 10%</t>
        </is>
      </c>
      <c r="C7" s="5" t="n">
        <v>17500</v>
      </c>
      <c r="D7" s="5" t="n">
        <v>24000</v>
      </c>
      <c r="E7" s="5" t="n">
        <v>35000</v>
      </c>
      <c r="F7" t="inlineStr">
        <is>
          <t>Идёт на пенсионный счёт работника</t>
        </is>
      </c>
    </row>
    <row r="8">
      <c r="A8" t="inlineStr">
        <is>
          <t>ВОСМС (работник)</t>
        </is>
      </c>
      <c r="B8" t="inlineStr">
        <is>
          <t>Оклад × 2%</t>
        </is>
      </c>
      <c r="C8" s="5" t="n">
        <v>3500</v>
      </c>
      <c r="D8" s="5" t="n">
        <v>4800</v>
      </c>
      <c r="E8" s="5" t="n">
        <v>7000</v>
      </c>
      <c r="F8" t="inlineStr">
        <is>
          <t>Медицинское страхование</t>
        </is>
      </c>
    </row>
    <row r="9">
      <c r="A9" t="inlineStr">
        <is>
          <t>База ИПН</t>
        </is>
      </c>
      <c r="B9" t="inlineStr">
        <is>
          <t>Оклад − ОПВ − МЗП</t>
        </is>
      </c>
      <c r="C9" s="5" t="n">
        <v>72500</v>
      </c>
      <c r="D9" s="5" t="n">
        <v>131000</v>
      </c>
      <c r="E9" s="5" t="n">
        <v>230000</v>
      </c>
      <c r="F9" t="inlineStr">
        <is>
          <t>МЗП = 85 000₸ (вычет)</t>
        </is>
      </c>
    </row>
    <row r="10">
      <c r="A10" t="inlineStr">
        <is>
          <t>ИПН (работник)</t>
        </is>
      </c>
      <c r="B10" t="inlineStr">
        <is>
          <t>База × 10%</t>
        </is>
      </c>
      <c r="C10" s="5" t="n">
        <v>7250</v>
      </c>
      <c r="D10" s="5" t="n">
        <v>13100</v>
      </c>
      <c r="E10" s="5" t="n">
        <v>23000</v>
      </c>
      <c r="F10" t="inlineStr">
        <is>
          <t>Если база &gt; 0</t>
        </is>
      </c>
    </row>
    <row r="11">
      <c r="A11" t="inlineStr">
        <is>
          <t>НА РУКИ (net)</t>
        </is>
      </c>
      <c r="B11" t="inlineStr">
        <is>
          <t>Оклад−ОПВ−ВОСМС−ИПН</t>
        </is>
      </c>
      <c r="C11" s="5" t="n">
        <v>146750</v>
      </c>
      <c r="D11" s="5" t="n">
        <v>198100</v>
      </c>
      <c r="E11" s="5" t="n">
        <v>285000</v>
      </c>
      <c r="F11" t="inlineStr">
        <is>
          <t>Реальные деньги работника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СО (работодатель)</t>
        </is>
      </c>
      <c r="B13" t="inlineStr">
        <is>
          <t>(Оклад−ОПВ) × 3.5%</t>
        </is>
      </c>
      <c r="C13" s="5" t="n">
        <v>5513</v>
      </c>
      <c r="D13" s="5" t="n">
        <v>7560</v>
      </c>
      <c r="E13" s="5" t="n">
        <v>11025</v>
      </c>
      <c r="F13" t="inlineStr">
        <is>
          <t>Платит работодатель дополнительно</t>
        </is>
      </c>
    </row>
    <row r="14">
      <c r="A14" t="inlineStr">
        <is>
          <t>ООСМС (работодатель)</t>
        </is>
      </c>
      <c r="B14" t="inlineStr">
        <is>
          <t>Оклад × 3%</t>
        </is>
      </c>
      <c r="C14" s="5" t="n">
        <v>5250</v>
      </c>
      <c r="D14" s="5" t="n">
        <v>7200</v>
      </c>
      <c r="E14" s="5" t="n">
        <v>10500</v>
      </c>
      <c r="F14" t="inlineStr">
        <is>
          <t>Платит работодатель дополнительно</t>
        </is>
      </c>
    </row>
    <row r="15">
      <c r="A15" s="6" t="inlineStr">
        <is>
          <t>ИТОГО РАСХОД РАБОТОДАТЕЛЯ</t>
        </is>
      </c>
      <c r="B15" s="6" t="inlineStr">
        <is>
          <t>Оклад + СО + ООСМС</t>
        </is>
      </c>
      <c r="C15" s="7" t="n">
        <v>185763</v>
      </c>
      <c r="D15" s="7" t="n">
        <v>254760</v>
      </c>
      <c r="E15" s="7" t="n">
        <v>371525</v>
      </c>
      <c r="F15" s="6" t="inlineStr">
        <is>
          <t>Реальная стоимость сотрудника</t>
        </is>
      </c>
    </row>
    <row r="16">
      <c r="A16" s="6" t="inlineStr">
        <is>
          <t>Коэффициент к окладу</t>
        </is>
      </c>
      <c r="B16" s="6" t="inlineStr">
        <is>
          <t>Расход / Оклад</t>
        </is>
      </c>
      <c r="C16" s="6" t="inlineStr">
        <is>
          <t>×1.061</t>
        </is>
      </c>
      <c r="D16" s="6" t="inlineStr">
        <is>
          <t>×1.062</t>
        </is>
      </c>
      <c r="E16" s="6" t="inlineStr">
        <is>
          <t>×1.062</t>
        </is>
      </c>
      <c r="F16" s="6" t="inlineStr">
        <is>
          <t>~6.1-6.2% сверх оклада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8" customWidth="1" min="4" max="4"/>
    <col width="28" customWidth="1" min="5" max="5"/>
    <col width="36" customWidth="1" min="6" max="6"/>
  </cols>
  <sheetData>
    <row r="1">
      <c r="A1" s="1" t="inlineStr">
        <is>
          <t>Источник:</t>
        </is>
      </c>
      <c r="B1" s="2" t="inlineStr">
        <is>
          <t>Ручной ввод — практика рынка КЗ 2026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36" customHeight="1">
      <c r="A5" s="3" t="inlineStr">
        <is>
          <t>Тип</t>
        </is>
      </c>
      <c r="B5" s="3" t="inlineStr">
        <is>
          <t>Описание</t>
        </is>
      </c>
      <c r="C5" s="3" t="inlineStr">
        <is>
          <t>Налоги с работодателя</t>
        </is>
      </c>
      <c r="D5" s="3" t="inlineStr">
        <is>
          <t>Налоги с работника</t>
        </is>
      </c>
      <c r="E5" s="3" t="inlineStr">
        <is>
          <t>Подходит для</t>
        </is>
      </c>
      <c r="F5" s="3" t="inlineStr">
        <is>
          <t>Риски</t>
        </is>
      </c>
    </row>
    <row r="6">
      <c r="A6" t="inlineStr">
        <is>
          <t>Трудовой договор (штат)</t>
        </is>
      </c>
      <c r="B6" t="inlineStr">
        <is>
          <t>Стандартное оформление по ТК РК</t>
        </is>
      </c>
      <c r="C6" t="inlineStr">
        <is>
          <t>СО 3.5% + ООСМС 3% = ~6.5%</t>
        </is>
      </c>
      <c r="D6" t="inlineStr">
        <is>
          <t>ОПВ 10% + ВОСМС 2% + ИПН 10%</t>
        </is>
      </c>
      <c r="E6" t="inlineStr">
        <is>
          <t>Все ниши — постоянный персонал</t>
        </is>
      </c>
      <c r="F6" t="inlineStr">
        <is>
          <t>Сложнее уволить. Все соц. гарантии</t>
        </is>
      </c>
    </row>
    <row r="7">
      <c r="A7" t="inlineStr">
        <is>
          <t>Договор ГПХ</t>
        </is>
      </c>
      <c r="B7" t="inlineStr">
        <is>
          <t>Разовые или проектные работы</t>
        </is>
      </c>
      <c r="C7" t="inlineStr">
        <is>
          <t>Нет СО и ООСМС</t>
        </is>
      </c>
      <c r="D7" t="inlineStr">
        <is>
          <t>ОПВ 10% + ИПН 10%</t>
        </is>
      </c>
      <c r="E7" t="inlineStr">
        <is>
          <t>Клининг (разовые объекты), сезонные работы</t>
        </is>
      </c>
      <c r="F7" t="inlineStr">
        <is>
          <t>Нельзя для постоянной работы. Риск переквалификации налоговой</t>
        </is>
      </c>
    </row>
    <row r="8">
      <c r="A8" t="inlineStr">
        <is>
          <t>Самозанятый (ЕСП)</t>
        </is>
      </c>
      <c r="B8" t="inlineStr">
        <is>
          <t>Работник сам платит налоги</t>
        </is>
      </c>
      <c r="C8" t="inlineStr">
        <is>
          <t>Ноль</t>
        </is>
      </c>
      <c r="D8" t="inlineStr">
        <is>
          <t>ЕСП ~1 МРП/мес (~3 932₸)</t>
        </is>
      </c>
      <c r="E8" t="inlineStr">
        <is>
          <t>Барбер, маникюр, репетитор</t>
        </is>
      </c>
      <c r="F8" t="inlineStr">
        <is>
          <t>Ограниченный перечень видов деятельности</t>
        </is>
      </c>
    </row>
    <row r="9">
      <c r="A9" t="inlineStr">
        <is>
          <t>ИП-подрядчик</t>
        </is>
      </c>
      <c r="B9" t="inlineStr">
        <is>
          <t>Нанимаешь другое ИП как юрлицо</t>
        </is>
      </c>
      <c r="C9" t="inlineStr">
        <is>
          <t>Ноль</t>
        </is>
      </c>
      <c r="D9" t="inlineStr">
        <is>
          <t>ИП сам платит по своему режиму</t>
        </is>
      </c>
      <c r="E9" t="inlineStr">
        <is>
          <t>Барбер, мастер маникюра с клиентской базой</t>
        </is>
      </c>
      <c r="F9" t="inlineStr">
        <is>
          <t>Нет лояльности к бизнесу — риск ухода с клиентами</t>
        </is>
      </c>
    </row>
    <row r="10">
      <c r="A10" t="inlineStr">
        <is>
          <t>Аренда рабочего места</t>
        </is>
      </c>
      <c r="B10" t="inlineStr">
        <is>
          <t>Мастер платит аренду месяца</t>
        </is>
      </c>
      <c r="C10" t="inlineStr">
        <is>
          <t>Ноль</t>
        </is>
      </c>
      <c r="D10" t="inlineStr">
        <is>
          <t>Мастер сам решает</t>
        </is>
      </c>
      <c r="E10" t="inlineStr">
        <is>
          <t>Барбершоп, маникюр, массаж</t>
        </is>
      </c>
      <c r="F10" t="inlineStr">
        <is>
          <t>Нет контроля качества. Репутационные риски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2026-03-29T17:56:19Z</dcterms:created>
  <dcterms:modified xmlns:dcterms="http://purl.org/dc/terms/" xmlns:xsi="http://www.w3.org/2001/XMLSchema-instance" xsi:type="dcterms:W3CDTF">2026-03-29T17:56:19Z</dcterms:modified>
</cp:coreProperties>
</file>